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\ali_properti\"/>
    </mc:Choice>
  </mc:AlternateContent>
  <xr:revisionPtr revIDLastSave="0" documentId="13_ncr:1_{0AB81198-BDF4-4977-8C8D-15457B582BF4}" xr6:coauthVersionLast="47" xr6:coauthVersionMax="47" xr10:uidLastSave="{00000000-0000-0000-0000-000000000000}"/>
  <bookViews>
    <workbookView xWindow="-108" yWindow="-108" windowWidth="23256" windowHeight="12456" activeTab="2" xr2:uid="{0DF90FCB-973D-488D-951F-25FD8E1E653B}"/>
  </bookViews>
  <sheets>
    <sheet name="UPAH BORONGAN TUKANG" sheetId="1" r:id="rId1"/>
    <sheet name="TANAH &amp; PRASARANA 150 UNIT" sheetId="3" r:id="rId2"/>
    <sheet name="LAPORAN PROGRESS 2 MINGGUAN" sheetId="4" r:id="rId3"/>
    <sheet name="RAB PERUNIT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2" i="4" l="1"/>
  <c r="G45" i="4"/>
  <c r="H44" i="4"/>
  <c r="I44" i="4" s="1"/>
  <c r="H43" i="4"/>
  <c r="I43" i="4" s="1"/>
  <c r="H42" i="4"/>
  <c r="I42" i="4" s="1"/>
  <c r="H41" i="4"/>
  <c r="I41" i="4" s="1"/>
  <c r="H40" i="4"/>
  <c r="I40" i="4" s="1"/>
  <c r="H39" i="4"/>
  <c r="I39" i="4" s="1"/>
  <c r="H38" i="4"/>
  <c r="I38" i="4" s="1"/>
  <c r="H37" i="4"/>
  <c r="I37" i="4" s="1"/>
  <c r="H36" i="4"/>
  <c r="I36" i="4" s="1"/>
  <c r="H35" i="4"/>
  <c r="I35" i="4" s="1"/>
  <c r="H34" i="4"/>
  <c r="I34" i="4" s="1"/>
  <c r="I33" i="4"/>
  <c r="H33" i="4"/>
  <c r="H32" i="4"/>
  <c r="I32" i="4" s="1"/>
  <c r="H31" i="4"/>
  <c r="I31" i="4" s="1"/>
  <c r="H30" i="4"/>
  <c r="I30" i="4" s="1"/>
  <c r="H29" i="4"/>
  <c r="I29" i="4" s="1"/>
  <c r="H28" i="4"/>
  <c r="I28" i="4" s="1"/>
  <c r="H27" i="4"/>
  <c r="I27" i="4" s="1"/>
  <c r="H26" i="4"/>
  <c r="I26" i="4" s="1"/>
  <c r="H25" i="4"/>
  <c r="I25" i="4" s="1"/>
  <c r="H24" i="4"/>
  <c r="I24" i="4" s="1"/>
  <c r="H23" i="4"/>
  <c r="I23" i="4" s="1"/>
  <c r="H22" i="4"/>
  <c r="I22" i="4" s="1"/>
  <c r="H21" i="4"/>
  <c r="I21" i="4" s="1"/>
  <c r="H20" i="4"/>
  <c r="I20" i="4" s="1"/>
  <c r="H19" i="4"/>
  <c r="I19" i="4" s="1"/>
  <c r="H18" i="4"/>
  <c r="I18" i="4" s="1"/>
  <c r="H17" i="4"/>
  <c r="I17" i="4" s="1"/>
  <c r="H16" i="4"/>
  <c r="I16" i="4" s="1"/>
  <c r="H15" i="4"/>
  <c r="I15" i="4" s="1"/>
  <c r="H14" i="4"/>
  <c r="I14" i="4" s="1"/>
  <c r="H13" i="4"/>
  <c r="I13" i="4" s="1"/>
  <c r="H12" i="4"/>
  <c r="I12" i="4" s="1"/>
  <c r="B12" i="4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H11" i="4"/>
  <c r="I11" i="4" s="1"/>
  <c r="I4" i="4"/>
  <c r="F52" i="3"/>
  <c r="F54" i="3" s="1"/>
  <c r="F47" i="3"/>
  <c r="F46" i="3"/>
  <c r="F45" i="3"/>
  <c r="F44" i="3"/>
  <c r="F43" i="3"/>
  <c r="F42" i="3"/>
  <c r="F41" i="3"/>
  <c r="F40" i="3"/>
  <c r="F39" i="3"/>
  <c r="F34" i="3"/>
  <c r="F33" i="3"/>
  <c r="F32" i="3"/>
  <c r="F31" i="3"/>
  <c r="F30" i="3"/>
  <c r="F29" i="3"/>
  <c r="F24" i="3"/>
  <c r="F23" i="3"/>
  <c r="F22" i="3"/>
  <c r="F21" i="3"/>
  <c r="F20" i="3"/>
  <c r="F19" i="3"/>
  <c r="F18" i="3"/>
  <c r="F17" i="3"/>
  <c r="F16" i="3"/>
  <c r="F59" i="2"/>
  <c r="F58" i="2"/>
  <c r="F57" i="2"/>
  <c r="F56" i="2"/>
  <c r="F55" i="2"/>
  <c r="F54" i="2"/>
  <c r="F51" i="2"/>
  <c r="F50" i="2"/>
  <c r="F52" i="2" s="1"/>
  <c r="F47" i="2"/>
  <c r="F46" i="2"/>
  <c r="F45" i="2"/>
  <c r="F44" i="2"/>
  <c r="F43" i="2"/>
  <c r="F42" i="2"/>
  <c r="F41" i="2"/>
  <c r="F40" i="2"/>
  <c r="F39" i="2"/>
  <c r="F38" i="2"/>
  <c r="F37" i="2"/>
  <c r="F36" i="2"/>
  <c r="F34" i="2"/>
  <c r="F30" i="2"/>
  <c r="F29" i="2"/>
  <c r="F28" i="2"/>
  <c r="F27" i="2"/>
  <c r="F26" i="2"/>
  <c r="F25" i="2"/>
  <c r="F24" i="2"/>
  <c r="F23" i="2"/>
  <c r="F22" i="2"/>
  <c r="F31" i="2" s="1"/>
  <c r="F19" i="2"/>
  <c r="F18" i="2"/>
  <c r="F17" i="2"/>
  <c r="F16" i="2"/>
  <c r="F15" i="2"/>
  <c r="F14" i="2"/>
  <c r="F13" i="2"/>
  <c r="F12" i="2"/>
  <c r="F11" i="2"/>
  <c r="F10" i="2"/>
  <c r="F7" i="2"/>
  <c r="F6" i="2"/>
  <c r="F5" i="2"/>
  <c r="F4" i="2"/>
  <c r="F8" i="2" s="1"/>
  <c r="F48" i="2" l="1"/>
  <c r="F60" i="2"/>
  <c r="F20" i="2"/>
  <c r="F61" i="2" s="1"/>
  <c r="F63" i="2" s="1"/>
  <c r="J39" i="4"/>
  <c r="J18" i="4"/>
  <c r="J26" i="4"/>
  <c r="J19" i="4"/>
  <c r="J27" i="4"/>
  <c r="J35" i="4"/>
  <c r="J13" i="4"/>
  <c r="J21" i="4"/>
  <c r="J43" i="4"/>
  <c r="J37" i="4"/>
  <c r="J15" i="4"/>
  <c r="J23" i="4"/>
  <c r="J38" i="4"/>
  <c r="J16" i="4"/>
  <c r="J33" i="4"/>
  <c r="J40" i="4"/>
  <c r="J32" i="4"/>
  <c r="J28" i="4"/>
  <c r="J44" i="4"/>
  <c r="H45" i="4"/>
  <c r="I45" i="4"/>
  <c r="J31" i="4" s="1"/>
  <c r="F49" i="3"/>
  <c r="F36" i="3"/>
  <c r="F26" i="3"/>
  <c r="J29" i="4" l="1"/>
  <c r="L44" i="4"/>
  <c r="N44" i="4"/>
  <c r="L16" i="4"/>
  <c r="N16" i="4"/>
  <c r="L43" i="4"/>
  <c r="N43" i="4"/>
  <c r="N27" i="4"/>
  <c r="L27" i="4"/>
  <c r="L28" i="4"/>
  <c r="N28" i="4"/>
  <c r="N38" i="4"/>
  <c r="L38" i="4"/>
  <c r="N29" i="4"/>
  <c r="L29" i="4"/>
  <c r="N19" i="4"/>
  <c r="L19" i="4"/>
  <c r="L32" i="4"/>
  <c r="N32" i="4"/>
  <c r="N23" i="4"/>
  <c r="L23" i="4"/>
  <c r="N21" i="4"/>
  <c r="L21" i="4"/>
  <c r="N26" i="4"/>
  <c r="L26" i="4"/>
  <c r="L40" i="4"/>
  <c r="N40" i="4"/>
  <c r="N15" i="4"/>
  <c r="L15" i="4"/>
  <c r="N13" i="4"/>
  <c r="L13" i="4"/>
  <c r="N18" i="4"/>
  <c r="L18" i="4"/>
  <c r="N33" i="4"/>
  <c r="L33" i="4"/>
  <c r="N37" i="4"/>
  <c r="L37" i="4"/>
  <c r="L35" i="4"/>
  <c r="N35" i="4"/>
  <c r="N39" i="4"/>
  <c r="L39" i="4"/>
  <c r="L31" i="4"/>
  <c r="N31" i="4"/>
  <c r="J12" i="4"/>
  <c r="J30" i="4"/>
  <c r="J42" i="4"/>
  <c r="J25" i="4"/>
  <c r="J36" i="4"/>
  <c r="J22" i="4"/>
  <c r="J41" i="4"/>
  <c r="J17" i="4"/>
  <c r="J20" i="4"/>
  <c r="J24" i="4"/>
  <c r="J14" i="4"/>
  <c r="J34" i="4"/>
  <c r="J11" i="4"/>
  <c r="G55" i="3"/>
  <c r="L36" i="4" l="1"/>
  <c r="N36" i="4"/>
  <c r="N25" i="4"/>
  <c r="L25" i="4"/>
  <c r="L24" i="4"/>
  <c r="N24" i="4"/>
  <c r="N22" i="4"/>
  <c r="L22" i="4"/>
  <c r="N34" i="4"/>
  <c r="L34" i="4"/>
  <c r="N14" i="4"/>
  <c r="L14" i="4"/>
  <c r="L20" i="4"/>
  <c r="N20" i="4"/>
  <c r="N17" i="4"/>
  <c r="L17" i="4"/>
  <c r="J45" i="4"/>
  <c r="N11" i="4"/>
  <c r="L11" i="4"/>
  <c r="N42" i="4"/>
  <c r="L42" i="4"/>
  <c r="N30" i="4"/>
  <c r="L30" i="4"/>
  <c r="L12" i="4"/>
  <c r="N12" i="4"/>
  <c r="N41" i="4"/>
  <c r="L41" i="4"/>
  <c r="E82" i="1"/>
  <c r="D82" i="1"/>
  <c r="E81" i="1"/>
  <c r="C81" i="1"/>
  <c r="E80" i="1"/>
  <c r="E79" i="1"/>
  <c r="D68" i="1"/>
  <c r="E67" i="1"/>
  <c r="C67" i="1"/>
  <c r="E61" i="1"/>
  <c r="C53" i="1" s="1"/>
  <c r="E68" i="1" s="1"/>
  <c r="C61" i="1"/>
  <c r="E48" i="1"/>
  <c r="D48" i="1"/>
  <c r="E46" i="1"/>
  <c r="C46" i="1"/>
  <c r="E41" i="1"/>
  <c r="C41" i="1"/>
  <c r="E35" i="1"/>
  <c r="C35" i="1"/>
  <c r="E30" i="1"/>
  <c r="E29" i="1" s="1"/>
  <c r="C30" i="1"/>
  <c r="E24" i="1"/>
  <c r="C24" i="1"/>
  <c r="E20" i="1"/>
  <c r="C20" i="1"/>
  <c r="E12" i="1"/>
  <c r="C12" i="1"/>
  <c r="E89" i="1" l="1"/>
  <c r="L45" i="4"/>
  <c r="N45" i="4"/>
  <c r="N47" i="4" l="1"/>
  <c r="N48" i="4"/>
  <c r="N50" i="4" s="1"/>
  <c r="L47" i="4"/>
  <c r="L48" i="4"/>
  <c r="L51" i="4" l="1"/>
  <c r="L53" i="4" s="1"/>
  <c r="L50" i="4"/>
</calcChain>
</file>

<file path=xl/sharedStrings.xml><?xml version="1.0" encoding="utf-8"?>
<sst xmlns="http://schemas.openxmlformats.org/spreadsheetml/2006/main" count="332" uniqueCount="248">
  <si>
    <t>PROGRES UPAH PEKERJAAN RUMAH TYPE 36 Plus /78</t>
  </si>
  <si>
    <t>" SIDRATUL MUNTAHA "</t>
  </si>
  <si>
    <t>*</t>
  </si>
  <si>
    <t xml:space="preserve">Nama subkontraktor           </t>
  </si>
  <si>
    <t xml:space="preserve">Nilai total kontrak          </t>
  </si>
  <si>
    <t>NO</t>
  </si>
  <si>
    <t>JENIS PEKERJAAN</t>
  </si>
  <si>
    <t>BOBOT PEKERJAAN</t>
  </si>
  <si>
    <t xml:space="preserve">JUMLAH </t>
  </si>
  <si>
    <t>SATUAN</t>
  </si>
  <si>
    <t>TOTAL</t>
  </si>
  <si>
    <t>PEK. PERSIAPAN &amp; PONDASI</t>
  </si>
  <si>
    <t>1. Pengukuran &amp; Bauwplank</t>
  </si>
  <si>
    <t xml:space="preserve">2. Galian tanah pondasi </t>
  </si>
  <si>
    <t>3. Pasang pondasi batu gunung</t>
  </si>
  <si>
    <t>4. Beton sloof</t>
  </si>
  <si>
    <t>PEK. DINDING</t>
  </si>
  <si>
    <t>1. Pasang dinding hebel</t>
  </si>
  <si>
    <t>2. Finishing dinding, Opening Pintu dan Jendela</t>
  </si>
  <si>
    <t>4. Beton kanopi</t>
  </si>
  <si>
    <t>5. Beton talang depan kiri dan kanan</t>
  </si>
  <si>
    <t>5 Beton ring balok</t>
  </si>
  <si>
    <t>6. Pasang sopi-sopi / kuda- kuda</t>
  </si>
  <si>
    <t>PEK. FINISING AWAL</t>
  </si>
  <si>
    <t>1. Plesteran dinding</t>
  </si>
  <si>
    <t xml:space="preserve">2. Acian dinding dalam, luar &amp; belakang </t>
  </si>
  <si>
    <t>PEK. PIPA AIR BERSIH DAN KOTOR</t>
  </si>
  <si>
    <t>1. Pipa Pembuangan air kotor</t>
  </si>
  <si>
    <t xml:space="preserve">2. Pipa air bersih </t>
  </si>
  <si>
    <t>3. pemasangan kran air</t>
  </si>
  <si>
    <t>PEK. KERAMIK, SANITASI, PINTU &amp; KAMAR MANDI</t>
  </si>
  <si>
    <t>1. Pas. Keramik kamar mandi, lantai, dinding dan closet</t>
  </si>
  <si>
    <t>2. Pas. Keramik lt. Ruangan dan teras</t>
  </si>
  <si>
    <t>3. Pemasangan Pintu kamar mandi</t>
  </si>
  <si>
    <t>PEK. PAGAR &amp; CAR PORT</t>
  </si>
  <si>
    <t>1.Pekerjaan Saftytank</t>
  </si>
  <si>
    <t>2. Betton car port</t>
  </si>
  <si>
    <t>3. Drainase &amp; jembatan</t>
  </si>
  <si>
    <t>4. Pekerjaan pagar</t>
  </si>
  <si>
    <t>PEK. TAMAN, PROFIL DAN PENGECATAN</t>
  </si>
  <si>
    <t>1. Profil Tali air</t>
  </si>
  <si>
    <t>2. Pembatas dan taman depan</t>
  </si>
  <si>
    <t>3. Pengecetan</t>
  </si>
  <si>
    <t>PEK. PEMASANGAN ATAP</t>
  </si>
  <si>
    <t>1. Pemasangan Rangka Atap</t>
  </si>
  <si>
    <t>2. Pemasangan Reng</t>
  </si>
  <si>
    <t>3. Pemasangan Spandek</t>
  </si>
  <si>
    <t>PEK. PEMASANGAN PLAFON</t>
  </si>
  <si>
    <t>1. Pemasangan Rangka Plafon</t>
  </si>
  <si>
    <t>2. Pemasangan Gypsum</t>
  </si>
  <si>
    <t>3. Kompon</t>
  </si>
  <si>
    <t>4. Finising</t>
  </si>
  <si>
    <t>PEK. INSTALASI</t>
  </si>
  <si>
    <t>1. Penarikan Kabel dan Pipa</t>
  </si>
  <si>
    <t>2. Pemasangan Saklar dan Fitting</t>
  </si>
  <si>
    <t>SUB KONTRAKTROR</t>
  </si>
  <si>
    <t>PEMBERI KONTRAK KERJA</t>
  </si>
  <si>
    <t>Muhammad Ali Bestari, SH.MH</t>
  </si>
  <si>
    <t>RAB PER UNIT RUMAH SIDRATUL MUNTAHA</t>
  </si>
  <si>
    <t>ITEM PEKERJAAN</t>
  </si>
  <si>
    <t>Satuan</t>
  </si>
  <si>
    <t>Jumlah</t>
  </si>
  <si>
    <t xml:space="preserve">Harga satuan </t>
  </si>
  <si>
    <t>Total harga</t>
  </si>
  <si>
    <t>PEKERJAAN PONDASI</t>
  </si>
  <si>
    <t>Pek. Pembuatan Bouwplank</t>
  </si>
  <si>
    <t>ls</t>
  </si>
  <si>
    <t>Pek. Tanah Timbunan</t>
  </si>
  <si>
    <t>m3</t>
  </si>
  <si>
    <t>Pas. Pondasi Batu Belah</t>
  </si>
  <si>
    <t xml:space="preserve">   Pekerjaan bekisting</t>
  </si>
  <si>
    <t>m2</t>
  </si>
  <si>
    <t>PEKERJAAN KONSTRUKSI DINDING</t>
  </si>
  <si>
    <t>pemakaian BATA Ringan</t>
  </si>
  <si>
    <t>M3</t>
  </si>
  <si>
    <t>pemakaian besi 8</t>
  </si>
  <si>
    <t>Kg</t>
  </si>
  <si>
    <t>pemakaian BESI BEGEL</t>
  </si>
  <si>
    <t>pemakaian BESI 10</t>
  </si>
  <si>
    <t>pemakaian SEMEN 40 KG</t>
  </si>
  <si>
    <t>sak</t>
  </si>
  <si>
    <t>pemakaian SEMEN Perekat</t>
  </si>
  <si>
    <t>pemakaian Semen Acian Putih</t>
  </si>
  <si>
    <t>pemakaian PASIR</t>
  </si>
  <si>
    <t>pemakaian CIPPING</t>
  </si>
  <si>
    <t>loster angin-angin 15x30</t>
  </si>
  <si>
    <t>Bh</t>
  </si>
  <si>
    <t>PEKERJAAN ATAP DAN FLAPON</t>
  </si>
  <si>
    <t>Pemakaian SPANDEK 0,25 - 0.30 SILVER</t>
  </si>
  <si>
    <t xml:space="preserve">pemakaian RENG </t>
  </si>
  <si>
    <t>pemakaian KANAL C</t>
  </si>
  <si>
    <t>pemakaian LIST PLAN 3 M</t>
  </si>
  <si>
    <t>baut rangka, baut spandek, paku beton, kawat penggantung</t>
  </si>
  <si>
    <t xml:space="preserve">holow 2x4 </t>
  </si>
  <si>
    <t>Kawat Pengikat Besi</t>
  </si>
  <si>
    <t>Paku 5,7,10</t>
  </si>
  <si>
    <t>pemakaian Gypsum/calsibord 43 m2 (120x240)</t>
  </si>
  <si>
    <t>PEKERJAAN KUSENG, PINTU &amp; JENDELA</t>
  </si>
  <si>
    <t xml:space="preserve">BORONGAN KUSENG PINTU DAN JENDELA PER UNIT </t>
  </si>
  <si>
    <t>PEKERJAAN KERAMIK LANTAI, DINDING, DAN SANITARI</t>
  </si>
  <si>
    <t xml:space="preserve">keramik lantai rumah  lantai 40x40 </t>
  </si>
  <si>
    <t>dos</t>
  </si>
  <si>
    <t>keramik lantai kamar mandi 25x25</t>
  </si>
  <si>
    <t>keramik dinding kamar mandi tinggi 1 M 25x40</t>
  </si>
  <si>
    <t>saptitank ( 2 cincin + 1 penutup )</t>
  </si>
  <si>
    <t>bh</t>
  </si>
  <si>
    <t>closet jongkok</t>
  </si>
  <si>
    <t xml:space="preserve">pipa air bersih 1/2  (pimas/lucky) </t>
  </si>
  <si>
    <t xml:space="preserve">asesoris sambungan pipa </t>
  </si>
  <si>
    <t>pipa pembuangan  septitank 3" ( lucky/pimas)</t>
  </si>
  <si>
    <t>pipa air kotor 3 inci</t>
  </si>
  <si>
    <t>PINTU KAMAR MANDI</t>
  </si>
  <si>
    <t>kran air biasa</t>
  </si>
  <si>
    <t>flor drain (SARINGAN PEMBUANGAN)</t>
  </si>
  <si>
    <t>JENIS PEKERJAAN TAMBAHAN</t>
  </si>
  <si>
    <t>penggunaan material balok - balok, papan, bambu, paku, triplex</t>
  </si>
  <si>
    <t xml:space="preserve">BAHAN MATERIAL KABEL,PIPA,SAKLAR,LAMPU DLL </t>
  </si>
  <si>
    <t>PENGECETAN</t>
  </si>
  <si>
    <t>Plafon    CAT STANDART MEREK ARIES</t>
  </si>
  <si>
    <t>dan badan rumah</t>
  </si>
  <si>
    <t>NO DROP MOCHA 4 KG</t>
  </si>
  <si>
    <t>NO DROP PUTIH 6 KG</t>
  </si>
  <si>
    <t>NO DROP ABU-ABU MUDA 4 KG</t>
  </si>
  <si>
    <t>NO DROP LIKESTONE 4 KG</t>
  </si>
  <si>
    <t>MATERIAL</t>
  </si>
  <si>
    <t>RENCANA ANGGARAN BIAYA (RAB)</t>
  </si>
  <si>
    <t>OWNER</t>
  </si>
  <si>
    <t>: PT. ALI PROPERTY INDONESIA</t>
  </si>
  <si>
    <t>PEKERJAAN</t>
  </si>
  <si>
    <t>: PERUMAHAN SIDRATUL MUNTAHA</t>
  </si>
  <si>
    <t>LOKASI</t>
  </si>
  <si>
    <t>: MAMUJU</t>
  </si>
  <si>
    <t>TAHUN ANGGARAN</t>
  </si>
  <si>
    <t>: 2026</t>
  </si>
  <si>
    <t>URAIAN PEKERJAAN</t>
  </si>
  <si>
    <t>SAT.</t>
  </si>
  <si>
    <t>VOLUME</t>
  </si>
  <si>
    <t>HARGA SATUAN</t>
  </si>
  <si>
    <t>JUMLAH HARGA</t>
  </si>
  <si>
    <t>I</t>
  </si>
  <si>
    <t>RAB TANAH</t>
  </si>
  <si>
    <t>Harga Dasar Pembelian Tanah</t>
  </si>
  <si>
    <t>M2</t>
  </si>
  <si>
    <t>Biaya Pematangan Lahan (Cut And Fill)</t>
  </si>
  <si>
    <t>Biaya Penebangan Dan Pembersihan  Pohon</t>
  </si>
  <si>
    <t>Ls</t>
  </si>
  <si>
    <t>BPHTB (Pajak Pembelian)</t>
  </si>
  <si>
    <t>%</t>
  </si>
  <si>
    <t>Pengukuran Tanah BPN</t>
  </si>
  <si>
    <t>Biaya Pologoro/Kecamatan/Adat</t>
  </si>
  <si>
    <t>Pengesahan Site Plan</t>
  </si>
  <si>
    <t>Ijin Lokasi</t>
  </si>
  <si>
    <t>Sertifikat HGB Induk a/n PT</t>
  </si>
  <si>
    <t>SUB TOTAL RAB TANAH</t>
  </si>
  <si>
    <t>II</t>
  </si>
  <si>
    <t>RAB SARANA</t>
  </si>
  <si>
    <t>Plat KPR</t>
  </si>
  <si>
    <t>Unit</t>
  </si>
  <si>
    <t>Sertifikat Pemecahan</t>
  </si>
  <si>
    <t>Instalasi Listrik</t>
  </si>
  <si>
    <t>IMB</t>
  </si>
  <si>
    <t>Instalasi Air Bersih Dalam Rumah</t>
  </si>
  <si>
    <t>SLF (Sertifikat Laik Fungsi)</t>
  </si>
  <si>
    <t>SUB TOTAL RAB SARANA</t>
  </si>
  <si>
    <t>III</t>
  </si>
  <si>
    <t>RAB PRASARANA</t>
  </si>
  <si>
    <t>M</t>
  </si>
  <si>
    <t>Saluran Drainase Perumahan</t>
  </si>
  <si>
    <t>Taman &amp; Penghijauan Perumahan</t>
  </si>
  <si>
    <t>Gapura Perumahan</t>
  </si>
  <si>
    <t>Perbaikan/Penyediaan Lahan Tempat Ibadah</t>
  </si>
  <si>
    <t>Jaringan Pipa Distribusi PDAM</t>
  </si>
  <si>
    <t>Jaringan &amp; Tiang Listrik PLN</t>
  </si>
  <si>
    <t>Trafo Listrik 50 KVA</t>
  </si>
  <si>
    <t>Keamanan</t>
  </si>
  <si>
    <t>Bln</t>
  </si>
  <si>
    <t>SUB TOTAL RAB PRASARANA</t>
  </si>
  <si>
    <t>IV</t>
  </si>
  <si>
    <t>RAB BANGUNAN</t>
  </si>
  <si>
    <t>Bangunan Rumah Type 36/78</t>
  </si>
  <si>
    <t>SUB TOTAL RAB BANGUNAN</t>
  </si>
  <si>
    <t>PT. ALI PROPERTY INDONESIA</t>
  </si>
  <si>
    <t>DIREKTUR</t>
  </si>
  <si>
    <t>MUHAMMAD ALI BESTARI SH, MH</t>
  </si>
  <si>
    <t>TANAH, SARANA, &amp; PRASARANA 150 UNIT</t>
  </si>
  <si>
    <r>
      <t xml:space="preserve">Jalan Perumahan Rabat Beton  </t>
    </r>
    <r>
      <rPr>
        <sz val="10"/>
        <color rgb="FF000000"/>
        <rFont val="Calibri"/>
        <family val="2"/>
      </rPr>
      <t>± 20%</t>
    </r>
  </si>
  <si>
    <t>LAPORAN PROGRESS DUA MINGGUAN</t>
  </si>
  <si>
    <t>BORONGAN PER UNIT TYPE 36/78 M2</t>
  </si>
  <si>
    <t>:</t>
  </si>
  <si>
    <t>PEMBORONG</t>
  </si>
  <si>
    <t>PERIODE</t>
  </si>
  <si>
    <t>No.</t>
  </si>
  <si>
    <t>Jumlah Harga           (Rp.)</t>
  </si>
  <si>
    <t>Retensi 5%           (Rp.)</t>
  </si>
  <si>
    <t>Bobot                        (%)</t>
  </si>
  <si>
    <t>PERSENTASE KEMAJUAN BLOK B</t>
  </si>
  <si>
    <t>Blok</t>
  </si>
  <si>
    <t>Kumulatif (%)</t>
  </si>
  <si>
    <t>Tertimbang (%)</t>
  </si>
  <si>
    <t>TAHAP 1</t>
  </si>
  <si>
    <t>PEKERJAAN BOUPLANK</t>
  </si>
  <si>
    <t>PEK. GALIAN TANAH PONDASI</t>
  </si>
  <si>
    <t>PEKERJAAN PAS. PONDASI BATU GUNUNG</t>
  </si>
  <si>
    <t>PEKERJAAN SLOEF</t>
  </si>
  <si>
    <t>PEKERJAAN PAS. DINDING BATA RINGAN (HEBEL)</t>
  </si>
  <si>
    <t>PEKERJAAN FINISHING DINDING, OPENING PINTU DAN JENDELA</t>
  </si>
  <si>
    <t>PEKERJAAN BETON KANOPI</t>
  </si>
  <si>
    <t>PEKERJAAN BETON TALANG DEPAN KIRI DAN KANAN</t>
  </si>
  <si>
    <t>PEKERJAAN BETON RING BALOK</t>
  </si>
  <si>
    <t>PEKERJAAN SOPI-SOPI / KUDA-KUDA</t>
  </si>
  <si>
    <t>PEKERJAAN PAS. RANGKA ATAP</t>
  </si>
  <si>
    <t>PEKERJAAN PAS. RENG</t>
  </si>
  <si>
    <t>PEKERJAAN PAS. SPANDEK</t>
  </si>
  <si>
    <t>PEKERJAAN PAS. RANGKA PLAFON</t>
  </si>
  <si>
    <t>PEKERJAAN PAS. GYPSUM</t>
  </si>
  <si>
    <t>KOMPON</t>
  </si>
  <si>
    <t>FINISHING</t>
  </si>
  <si>
    <t>PEKERJAAN PLISTERAN DINDING</t>
  </si>
  <si>
    <t>PEKERJAAN ACIAN DINDING DALAM, LUAR &amp; BELAKANG</t>
  </si>
  <si>
    <t>PEKERJAAN PIPA  PEMBUANGAN AIR KOTOR</t>
  </si>
  <si>
    <t>PEKERJAAN PIPA AIR BERSIH</t>
  </si>
  <si>
    <t>PEKERJAAN PAS.  KRAN AIR</t>
  </si>
  <si>
    <t>PEKERJAAN PAS. KERAMIK KAMAR MANDI,  LANTAI,  DINDING, &amp; CLOSET</t>
  </si>
  <si>
    <t>PEKERJAAN PAS. KERAMIK  LT. RUANGAN &amp; TERAS</t>
  </si>
  <si>
    <t>PEKERJAAN PAS. PINTU  KAMAR MANDI</t>
  </si>
  <si>
    <t>PEKERJAAN SAFTYTANK</t>
  </si>
  <si>
    <t>PEKERJAAN BETON CAR PORT</t>
  </si>
  <si>
    <t>PEKERJAAN DRAINASE &amp; JEMBATAN</t>
  </si>
  <si>
    <t>PEKERJAAN PAGAR</t>
  </si>
  <si>
    <t>PEKERJAAN TALI AIR</t>
  </si>
  <si>
    <t>PEKERJAAN PEMBATAS &amp; TAMAN DEPAN</t>
  </si>
  <si>
    <t>PEKERJAAN PENGECETAN</t>
  </si>
  <si>
    <t>PEKERJAAN PENARIKAN KABEL DAN PIPA</t>
  </si>
  <si>
    <t>PEMASANGAN SAKLAR &amp; FITTING</t>
  </si>
  <si>
    <t>Bobot kumulatif (%)</t>
  </si>
  <si>
    <t>Bobot minggu lalu (%)</t>
  </si>
  <si>
    <t>Bobot minggu ini (%)</t>
  </si>
  <si>
    <t>Total Opname (Rp) / Blok</t>
  </si>
  <si>
    <t>Pembayaran Sebelumnya (Rp) / Blok</t>
  </si>
  <si>
    <t>Pembayaran saat ini (Rp) / Blok</t>
  </si>
  <si>
    <t>Total Opname (Rp) / Kepala Tukang</t>
  </si>
  <si>
    <t>Pembayaran Sebelumnya (Rp)/ Kepala Tukang</t>
  </si>
  <si>
    <t>Selisih Pembayaran (Rp) / Kepala Tukang</t>
  </si>
  <si>
    <t xml:space="preserve">Mamuju, </t>
  </si>
  <si>
    <t>Pemborong :</t>
  </si>
  <si>
    <t>Dibuat Oleh :</t>
  </si>
  <si>
    <t>Disetujui Oleh :</t>
  </si>
  <si>
    <t>MUH. ALI BESTARI SH, MH.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</si>
</sst>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p&quot;* #,##0.00_-;\-&quot;Rp&quot;* #,##0.00_-;_-&quot;Rp&quot;* &quot;-&quot;??_-;_-@_-"/>
    <numFmt numFmtId="164" formatCode="_(&quot;Rp&quot;* #,##0_);_(&quot;Rp&quot;* \(#,##0\);_(&quot;Rp&quot;* &quot;-&quot;_);_(@_)"/>
    <numFmt numFmtId="165" formatCode="_-&quot;Rp&quot;* #,##0_-;\-&quot;Rp&quot;* #,##0_-;_-&quot;Rp&quot;* &quot;-&quot;??_-;_-@_-"/>
    <numFmt numFmtId="166" formatCode="_-&quot;Rp&quot;* #,##0.00_-;\-&quot;Rp&quot;* #,##0.00_-;_-&quot;Rp&quot;* &quot;-&quot;_-;_-@_-"/>
    <numFmt numFmtId="167" formatCode="&quot;Rp&quot;#,##0"/>
    <numFmt numFmtId="168" formatCode="_(* #,##0_);_(* \(#,##0\);_(* &quot;-&quot;_);_(@_)"/>
    <numFmt numFmtId="169" formatCode="_([$Rp-421]* #,##0.00_);_([$Rp-421]* \(#,##0.00\);_([$Rp-421]* &quot;-&quot;??_);_(@_)"/>
    <numFmt numFmtId="170" formatCode="_(* #,##0.00000_);_(* \(#,##0.00000\);_(* &quot;-&quot;_);_(@_)"/>
    <numFmt numFmtId="171" formatCode="_-[$Rp-421]* #,##0.00_-;\-[$Rp-421]* #,##0.00_-;_-[$Rp-421]* &quot;-&quot;??_-;_-@_-"/>
  </numFmts>
  <fonts count="3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C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Calibri"/>
      <family val="2"/>
    </font>
    <font>
      <sz val="10"/>
      <color rgb="FFFF000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</font>
    <font>
      <sz val="10"/>
      <color theme="1"/>
      <name val="Times New Roman"/>
      <family val="1"/>
    </font>
    <font>
      <sz val="8"/>
      <color rgb="FF000000"/>
      <name val="Times New Roman"/>
      <family val="1"/>
    </font>
    <font>
      <sz val="11"/>
      <color theme="1"/>
      <name val="Calibri"/>
      <family val="2"/>
      <charset val="1"/>
      <scheme val="minor"/>
    </font>
    <font>
      <b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i/>
      <sz val="12"/>
      <name val="Calibri"/>
      <family val="2"/>
      <scheme val="minor"/>
    </font>
    <font>
      <sz val="12"/>
      <name val="Calibri"/>
      <family val="2"/>
      <charset val="1"/>
      <scheme val="minor"/>
    </font>
    <font>
      <b/>
      <u/>
      <sz val="1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dotted">
        <color auto="1"/>
      </top>
      <bottom/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auto="1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hair">
        <color indexed="64"/>
      </bottom>
      <diagonal/>
    </border>
    <border>
      <left style="thin">
        <color indexed="64"/>
      </left>
      <right/>
      <top style="double">
        <color auto="1"/>
      </top>
      <bottom style="hair">
        <color indexed="64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tted">
        <color auto="1"/>
      </bottom>
      <diagonal/>
    </border>
    <border>
      <left/>
      <right/>
      <top style="double">
        <color auto="1"/>
      </top>
      <bottom style="dotted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tted">
        <color auto="1"/>
      </bottom>
      <diagonal/>
    </border>
    <border>
      <left/>
      <right style="thin">
        <color auto="1"/>
      </right>
      <top style="double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uble">
        <color auto="1"/>
      </bottom>
      <diagonal/>
    </border>
    <border>
      <left/>
      <right/>
      <top style="dotted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/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medium">
        <color indexed="64"/>
      </right>
      <top style="dotted">
        <color auto="1"/>
      </top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</borders>
  <cellStyleXfs count="7">
    <xf numFmtId="0" fontId="0" fillId="0" borderId="0"/>
    <xf numFmtId="9" fontId="26" fillId="0" borderId="0" applyFont="0" applyFill="0" applyBorder="0" applyAlignment="0" applyProtection="0"/>
    <xf numFmtId="0" fontId="26" fillId="0" borderId="0"/>
    <xf numFmtId="164" fontId="26" fillId="0" borderId="0" applyFont="0" applyFill="0" applyBorder="0" applyAlignment="0" applyProtection="0"/>
    <xf numFmtId="0" fontId="30" fillId="0" borderId="0"/>
    <xf numFmtId="9" fontId="26" fillId="0" borderId="0" applyFont="0" applyFill="0" applyBorder="0" applyAlignment="0" applyProtection="0"/>
    <xf numFmtId="168" fontId="26" fillId="0" borderId="0" applyFont="0" applyFill="0" applyBorder="0" applyAlignment="0" applyProtection="0"/>
  </cellStyleXfs>
  <cellXfs count="364">
    <xf numFmtId="0" fontId="0" fillId="0" borderId="0" xfId="0"/>
    <xf numFmtId="0" fontId="2" fillId="0" borderId="4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5" xfId="0" applyFont="1" applyBorder="1"/>
    <xf numFmtId="0" fontId="2" fillId="0" borderId="10" xfId="0" applyFont="1" applyBorder="1" applyAlignment="1">
      <alignment horizontal="center"/>
    </xf>
    <xf numFmtId="0" fontId="0" fillId="0" borderId="10" xfId="0" applyBorder="1"/>
    <xf numFmtId="9" fontId="0" fillId="0" borderId="10" xfId="0" applyNumberFormat="1" applyBorder="1" applyAlignment="1">
      <alignment horizontal="center"/>
    </xf>
    <xf numFmtId="9" fontId="2" fillId="2" borderId="10" xfId="0" applyNumberFormat="1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10" xfId="0" applyFill="1" applyBorder="1"/>
    <xf numFmtId="0" fontId="0" fillId="0" borderId="15" xfId="0" applyBorder="1"/>
    <xf numFmtId="0" fontId="0" fillId="0" borderId="16" xfId="0" applyBorder="1"/>
    <xf numFmtId="9" fontId="2" fillId="2" borderId="10" xfId="0" applyNumberFormat="1" applyFont="1" applyFill="1" applyBorder="1" applyAlignment="1">
      <alignment vertical="center"/>
    </xf>
    <xf numFmtId="0" fontId="0" fillId="0" borderId="21" xfId="0" applyBorder="1"/>
    <xf numFmtId="9" fontId="0" fillId="2" borderId="10" xfId="0" applyNumberFormat="1" applyFill="1" applyBorder="1" applyAlignment="1">
      <alignment horizontal="center"/>
    </xf>
    <xf numFmtId="0" fontId="2" fillId="2" borderId="10" xfId="0" applyFont="1" applyFill="1" applyBorder="1" applyAlignment="1">
      <alignment vertical="center"/>
    </xf>
    <xf numFmtId="0" fontId="0" fillId="0" borderId="4" xfId="0" applyBorder="1"/>
    <xf numFmtId="0" fontId="0" fillId="2" borderId="25" xfId="0" applyFill="1" applyBorder="1"/>
    <xf numFmtId="0" fontId="4" fillId="2" borderId="26" xfId="0" applyFont="1" applyFill="1" applyBorder="1"/>
    <xf numFmtId="9" fontId="5" fillId="2" borderId="26" xfId="0" applyNumberFormat="1" applyFont="1" applyFill="1" applyBorder="1" applyAlignment="1">
      <alignment horizontal="center" vertical="center"/>
    </xf>
    <xf numFmtId="0" fontId="0" fillId="0" borderId="9" xfId="0" applyBorder="1"/>
    <xf numFmtId="9" fontId="3" fillId="0" borderId="10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0" xfId="0" applyFont="1" applyBorder="1"/>
    <xf numFmtId="0" fontId="9" fillId="2" borderId="25" xfId="0" applyFont="1" applyFill="1" applyBorder="1"/>
    <xf numFmtId="0" fontId="9" fillId="4" borderId="0" xfId="0" applyFont="1" applyFill="1"/>
    <xf numFmtId="0" fontId="4" fillId="4" borderId="2" xfId="0" applyFont="1" applyFill="1" applyBorder="1"/>
    <xf numFmtId="9" fontId="5" fillId="4" borderId="2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164" fontId="0" fillId="2" borderId="0" xfId="0" applyNumberFormat="1" applyFill="1"/>
    <xf numFmtId="0" fontId="12" fillId="0" borderId="34" xfId="0" applyFont="1" applyBorder="1"/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5" borderId="34" xfId="0" applyFont="1" applyFill="1" applyBorder="1"/>
    <xf numFmtId="0" fontId="13" fillId="5" borderId="35" xfId="0" applyFont="1" applyFill="1" applyBorder="1"/>
    <xf numFmtId="0" fontId="13" fillId="5" borderId="35" xfId="0" applyFont="1" applyFill="1" applyBorder="1" applyAlignment="1">
      <alignment horizontal="center"/>
    </xf>
    <xf numFmtId="0" fontId="13" fillId="5" borderId="36" xfId="0" applyFont="1" applyFill="1" applyBorder="1"/>
    <xf numFmtId="0" fontId="14" fillId="0" borderId="34" xfId="0" applyFont="1" applyBorder="1"/>
    <xf numFmtId="0" fontId="15" fillId="0" borderId="37" xfId="0" applyFont="1" applyBorder="1" applyAlignment="1">
      <alignment horizontal="left" vertical="top" wrapText="1" indent="1"/>
    </xf>
    <xf numFmtId="0" fontId="16" fillId="0" borderId="35" xfId="0" applyFont="1" applyBorder="1" applyAlignment="1">
      <alignment horizontal="center" vertical="center"/>
    </xf>
    <xf numFmtId="165" fontId="14" fillId="0" borderId="35" xfId="0" applyNumberFormat="1" applyFont="1" applyBorder="1"/>
    <xf numFmtId="165" fontId="14" fillId="0" borderId="36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left" vertical="top" wrapText="1" indent="1"/>
    </xf>
    <xf numFmtId="0" fontId="0" fillId="0" borderId="0" xfId="0" applyAlignment="1">
      <alignment horizontal="right" vertical="top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center" vertical="top"/>
    </xf>
    <xf numFmtId="165" fontId="16" fillId="6" borderId="41" xfId="0" applyNumberFormat="1" applyFont="1" applyFill="1" applyBorder="1" applyAlignment="1">
      <alignment horizontal="center" vertical="center"/>
    </xf>
    <xf numFmtId="0" fontId="13" fillId="5" borderId="42" xfId="0" applyFont="1" applyFill="1" applyBorder="1"/>
    <xf numFmtId="0" fontId="13" fillId="5" borderId="43" xfId="0" applyFont="1" applyFill="1" applyBorder="1"/>
    <xf numFmtId="0" fontId="13" fillId="5" borderId="43" xfId="0" applyFont="1" applyFill="1" applyBorder="1" applyAlignment="1">
      <alignment horizontal="center"/>
    </xf>
    <xf numFmtId="0" fontId="13" fillId="5" borderId="44" xfId="0" applyFont="1" applyFill="1" applyBorder="1"/>
    <xf numFmtId="0" fontId="14" fillId="0" borderId="35" xfId="0" applyFont="1" applyBorder="1"/>
    <xf numFmtId="0" fontId="20" fillId="0" borderId="35" xfId="0" applyFont="1" applyBorder="1" applyAlignment="1">
      <alignment horizontal="center" vertical="center"/>
    </xf>
    <xf numFmtId="164" fontId="14" fillId="0" borderId="36" xfId="0" applyNumberFormat="1" applyFont="1" applyBorder="1"/>
    <xf numFmtId="0" fontId="15" fillId="0" borderId="35" xfId="0" applyFont="1" applyBorder="1"/>
    <xf numFmtId="165" fontId="15" fillId="0" borderId="35" xfId="0" applyNumberFormat="1" applyFont="1" applyBorder="1"/>
    <xf numFmtId="0" fontId="20" fillId="0" borderId="35" xfId="0" applyFont="1" applyBorder="1" applyAlignment="1">
      <alignment horizontal="center"/>
    </xf>
    <xf numFmtId="164" fontId="16" fillId="6" borderId="36" xfId="0" applyNumberFormat="1" applyFont="1" applyFill="1" applyBorder="1"/>
    <xf numFmtId="0" fontId="16" fillId="5" borderId="35" xfId="0" applyFont="1" applyFill="1" applyBorder="1"/>
    <xf numFmtId="0" fontId="16" fillId="5" borderId="35" xfId="0" applyFont="1" applyFill="1" applyBorder="1" applyAlignment="1">
      <alignment horizontal="center" vertical="center"/>
    </xf>
    <xf numFmtId="164" fontId="14" fillId="5" borderId="35" xfId="0" applyNumberFormat="1" applyFont="1" applyFill="1" applyBorder="1"/>
    <xf numFmtId="164" fontId="14" fillId="5" borderId="36" xfId="0" applyNumberFormat="1" applyFont="1" applyFill="1" applyBorder="1"/>
    <xf numFmtId="164" fontId="14" fillId="0" borderId="35" xfId="0" applyNumberFormat="1" applyFont="1" applyBorder="1"/>
    <xf numFmtId="0" fontId="14" fillId="0" borderId="35" xfId="0" applyFont="1" applyBorder="1" applyAlignment="1">
      <alignment horizontal="center"/>
    </xf>
    <xf numFmtId="0" fontId="16" fillId="5" borderId="35" xfId="0" applyFont="1" applyFill="1" applyBorder="1" applyAlignment="1">
      <alignment horizontal="center"/>
    </xf>
    <xf numFmtId="0" fontId="16" fillId="5" borderId="36" xfId="0" applyFont="1" applyFill="1" applyBorder="1"/>
    <xf numFmtId="0" fontId="14" fillId="0" borderId="35" xfId="0" applyFont="1" applyBorder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0" fontId="21" fillId="0" borderId="35" xfId="0" applyFont="1" applyBorder="1" applyAlignment="1">
      <alignment horizontal="center"/>
    </xf>
    <xf numFmtId="164" fontId="16" fillId="5" borderId="35" xfId="0" applyNumberFormat="1" applyFont="1" applyFill="1" applyBorder="1"/>
    <xf numFmtId="164" fontId="16" fillId="5" borderId="36" xfId="0" applyNumberFormat="1" applyFont="1" applyFill="1" applyBorder="1"/>
    <xf numFmtId="0" fontId="22" fillId="0" borderId="34" xfId="0" applyFont="1" applyBorder="1"/>
    <xf numFmtId="164" fontId="15" fillId="0" borderId="35" xfId="0" applyNumberFormat="1" applyFont="1" applyBorder="1"/>
    <xf numFmtId="164" fontId="15" fillId="0" borderId="36" xfId="0" applyNumberFormat="1" applyFont="1" applyBorder="1"/>
    <xf numFmtId="0" fontId="21" fillId="0" borderId="35" xfId="0" applyFont="1" applyBorder="1"/>
    <xf numFmtId="164" fontId="23" fillId="0" borderId="36" xfId="0" applyNumberFormat="1" applyFont="1" applyBorder="1"/>
    <xf numFmtId="0" fontId="21" fillId="0" borderId="35" xfId="0" applyFont="1" applyBorder="1" applyAlignment="1">
      <alignment horizontal="left"/>
    </xf>
    <xf numFmtId="164" fontId="16" fillId="0" borderId="36" xfId="0" applyNumberFormat="1" applyFont="1" applyBorder="1"/>
    <xf numFmtId="0" fontId="12" fillId="0" borderId="45" xfId="0" applyFont="1" applyBorder="1"/>
    <xf numFmtId="0" fontId="14" fillId="0" borderId="46" xfId="0" applyFont="1" applyBorder="1"/>
    <xf numFmtId="0" fontId="14" fillId="0" borderId="46" xfId="0" applyFont="1" applyBorder="1" applyAlignment="1">
      <alignment horizontal="center"/>
    </xf>
    <xf numFmtId="164" fontId="23" fillId="0" borderId="47" xfId="0" applyNumberFormat="1" applyFont="1" applyBorder="1"/>
    <xf numFmtId="0" fontId="0" fillId="0" borderId="0" xfId="0" applyAlignment="1">
      <alignment horizontal="left" vertical="top"/>
    </xf>
    <xf numFmtId="0" fontId="25" fillId="0" borderId="10" xfId="0" applyFont="1" applyBorder="1" applyAlignment="1">
      <alignment horizontal="center" vertical="top"/>
    </xf>
    <xf numFmtId="0" fontId="18" fillId="0" borderId="20" xfId="0" applyFont="1" applyBorder="1" applyAlignment="1">
      <alignment horizontal="center" vertical="top"/>
    </xf>
    <xf numFmtId="0" fontId="18" fillId="0" borderId="17" xfId="0" applyFont="1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18" fillId="0" borderId="10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18" fillId="0" borderId="10" xfId="0" applyFont="1" applyBorder="1" applyAlignment="1">
      <alignment horizontal="center" vertical="top"/>
    </xf>
    <xf numFmtId="2" fontId="0" fillId="0" borderId="10" xfId="0" applyNumberFormat="1" applyBorder="1" applyAlignment="1">
      <alignment horizontal="center" vertical="top"/>
    </xf>
    <xf numFmtId="44" fontId="0" fillId="0" borderId="10" xfId="0" applyNumberFormat="1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5" xfId="0" applyBorder="1" applyAlignment="1">
      <alignment horizontal="left" vertical="top"/>
    </xf>
    <xf numFmtId="0" fontId="18" fillId="0" borderId="17" xfId="0" applyFon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44" fontId="0" fillId="0" borderId="0" xfId="0" applyNumberFormat="1" applyAlignment="1">
      <alignment horizontal="left" vertical="top"/>
    </xf>
    <xf numFmtId="0" fontId="8" fillId="0" borderId="0" xfId="0" applyFont="1"/>
    <xf numFmtId="0" fontId="27" fillId="0" borderId="0" xfId="2" applyFont="1" applyAlignment="1">
      <alignment horizontal="center" vertical="center" wrapText="1"/>
    </xf>
    <xf numFmtId="166" fontId="27" fillId="0" borderId="0" xfId="2" applyNumberFormat="1" applyFont="1" applyAlignment="1">
      <alignment horizontal="center" vertical="center" wrapText="1"/>
    </xf>
    <xf numFmtId="2" fontId="27" fillId="0" borderId="0" xfId="2" applyNumberFormat="1" applyFont="1" applyAlignment="1">
      <alignment horizontal="center" vertical="center" wrapText="1"/>
    </xf>
    <xf numFmtId="0" fontId="27" fillId="0" borderId="0" xfId="2" applyFont="1" applyAlignment="1">
      <alignment vertical="center"/>
    </xf>
    <xf numFmtId="0" fontId="27" fillId="0" borderId="0" xfId="2" applyFont="1" applyAlignment="1">
      <alignment horizontal="right" vertical="center"/>
    </xf>
    <xf numFmtId="166" fontId="27" fillId="0" borderId="0" xfId="2" applyNumberFormat="1" applyFont="1" applyAlignment="1">
      <alignment vertical="center"/>
    </xf>
    <xf numFmtId="2" fontId="27" fillId="0" borderId="0" xfId="2" applyNumberFormat="1" applyFont="1" applyAlignment="1">
      <alignment horizontal="right" vertical="center" wrapText="1"/>
    </xf>
    <xf numFmtId="167" fontId="27" fillId="0" borderId="0" xfId="3" applyNumberFormat="1" applyFont="1" applyAlignment="1">
      <alignment horizontal="left" vertical="center"/>
    </xf>
    <xf numFmtId="167" fontId="27" fillId="0" borderId="0" xfId="3" applyNumberFormat="1" applyFont="1" applyAlignment="1">
      <alignment vertical="center"/>
    </xf>
    <xf numFmtId="0" fontId="27" fillId="0" borderId="0" xfId="2" applyFont="1" applyAlignment="1">
      <alignment horizontal="left" vertical="center" wrapText="1"/>
    </xf>
    <xf numFmtId="0" fontId="27" fillId="0" borderId="0" xfId="2" applyFont="1" applyAlignment="1">
      <alignment horizontal="right" vertical="center" wrapText="1"/>
    </xf>
    <xf numFmtId="166" fontId="27" fillId="0" borderId="0" xfId="2" applyNumberFormat="1" applyFont="1" applyAlignment="1">
      <alignment horizontal="left" vertical="center" wrapText="1"/>
    </xf>
    <xf numFmtId="0" fontId="27" fillId="0" borderId="0" xfId="2" applyFont="1" applyAlignment="1">
      <alignment horizontal="left" vertical="center"/>
    </xf>
    <xf numFmtId="0" fontId="29" fillId="0" borderId="0" xfId="2" applyFont="1" applyAlignment="1">
      <alignment horizontal="left" vertical="center"/>
    </xf>
    <xf numFmtId="0" fontId="27" fillId="10" borderId="64" xfId="2" applyFont="1" applyFill="1" applyBorder="1" applyAlignment="1">
      <alignment horizontal="center" vertical="center"/>
    </xf>
    <xf numFmtId="166" fontId="31" fillId="10" borderId="67" xfId="2" applyNumberFormat="1" applyFont="1" applyFill="1" applyBorder="1" applyAlignment="1">
      <alignment horizontal="center" vertical="center"/>
    </xf>
    <xf numFmtId="2" fontId="27" fillId="10" borderId="68" xfId="2" applyNumberFormat="1" applyFont="1" applyFill="1" applyBorder="1" applyAlignment="1">
      <alignment horizontal="center" vertical="center" wrapText="1"/>
    </xf>
    <xf numFmtId="0" fontId="31" fillId="0" borderId="72" xfId="2" applyFont="1" applyBorder="1" applyAlignment="1">
      <alignment horizontal="center" vertical="center"/>
    </xf>
    <xf numFmtId="166" fontId="32" fillId="0" borderId="76" xfId="2" applyNumberFormat="1" applyFont="1" applyBorder="1" applyAlignment="1">
      <alignment horizontal="left" vertical="center"/>
    </xf>
    <xf numFmtId="166" fontId="31" fillId="0" borderId="76" xfId="2" applyNumberFormat="1" applyFont="1" applyBorder="1" applyAlignment="1">
      <alignment horizontal="left" vertical="center"/>
    </xf>
    <xf numFmtId="2" fontId="33" fillId="0" borderId="77" xfId="5" applyNumberFormat="1" applyFont="1" applyBorder="1" applyAlignment="1">
      <alignment horizontal="center" vertical="center"/>
    </xf>
    <xf numFmtId="9" fontId="31" fillId="0" borderId="78" xfId="1" applyFont="1" applyBorder="1" applyAlignment="1">
      <alignment horizontal="center" vertical="center"/>
    </xf>
    <xf numFmtId="10" fontId="33" fillId="0" borderId="77" xfId="1" applyNumberFormat="1" applyFont="1" applyBorder="1" applyAlignment="1">
      <alignment horizontal="center" vertical="center"/>
    </xf>
    <xf numFmtId="9" fontId="31" fillId="0" borderId="75" xfId="1" applyFont="1" applyBorder="1" applyAlignment="1">
      <alignment horizontal="center" vertical="center"/>
    </xf>
    <xf numFmtId="10" fontId="33" fillId="0" borderId="79" xfId="1" applyNumberFormat="1" applyFont="1" applyBorder="1" applyAlignment="1">
      <alignment horizontal="center" vertical="center"/>
    </xf>
    <xf numFmtId="0" fontId="31" fillId="0" borderId="80" xfId="2" applyFont="1" applyBorder="1" applyAlignment="1">
      <alignment horizontal="center" vertical="center"/>
    </xf>
    <xf numFmtId="0" fontId="33" fillId="11" borderId="86" xfId="2" applyFont="1" applyFill="1" applyBorder="1" applyAlignment="1">
      <alignment vertical="center"/>
    </xf>
    <xf numFmtId="0" fontId="33" fillId="11" borderId="87" xfId="2" applyFont="1" applyFill="1" applyBorder="1" applyAlignment="1">
      <alignment vertical="center"/>
    </xf>
    <xf numFmtId="166" fontId="33" fillId="11" borderId="87" xfId="2" applyNumberFormat="1" applyFont="1" applyFill="1" applyBorder="1" applyAlignment="1">
      <alignment vertical="center"/>
    </xf>
    <xf numFmtId="2" fontId="33" fillId="11" borderId="87" xfId="2" applyNumberFormat="1" applyFont="1" applyFill="1" applyBorder="1" applyAlignment="1">
      <alignment vertical="center"/>
    </xf>
    <xf numFmtId="0" fontId="27" fillId="0" borderId="88" xfId="2" applyFont="1" applyBorder="1" applyAlignment="1">
      <alignment horizontal="center" vertical="center"/>
    </xf>
    <xf numFmtId="10" fontId="33" fillId="0" borderId="89" xfId="1" applyNumberFormat="1" applyFont="1" applyBorder="1" applyAlignment="1">
      <alignment horizontal="center" vertical="center"/>
    </xf>
    <xf numFmtId="0" fontId="27" fillId="0" borderId="90" xfId="2" applyFont="1" applyBorder="1" applyAlignment="1">
      <alignment horizontal="center" vertical="center"/>
    </xf>
    <xf numFmtId="10" fontId="33" fillId="0" borderId="91" xfId="1" applyNumberFormat="1" applyFont="1" applyBorder="1" applyAlignment="1">
      <alignment horizontal="center" vertical="center"/>
    </xf>
    <xf numFmtId="0" fontId="33" fillId="11" borderId="92" xfId="2" applyFont="1" applyFill="1" applyBorder="1" applyAlignment="1">
      <alignment vertical="center"/>
    </xf>
    <xf numFmtId="0" fontId="33" fillId="11" borderId="93" xfId="2" applyFont="1" applyFill="1" applyBorder="1" applyAlignment="1">
      <alignment vertical="center"/>
    </xf>
    <xf numFmtId="166" fontId="33" fillId="11" borderId="93" xfId="2" applyNumberFormat="1" applyFont="1" applyFill="1" applyBorder="1" applyAlignment="1">
      <alignment vertical="center"/>
    </xf>
    <xf numFmtId="2" fontId="33" fillId="11" borderId="93" xfId="2" applyNumberFormat="1" applyFont="1" applyFill="1" applyBorder="1" applyAlignment="1">
      <alignment vertical="center"/>
    </xf>
    <xf numFmtId="0" fontId="27" fillId="0" borderId="58" xfId="2" applyFont="1" applyBorder="1" applyAlignment="1">
      <alignment horizontal="center" vertical="center"/>
    </xf>
    <xf numFmtId="10" fontId="27" fillId="0" borderId="76" xfId="1" applyNumberFormat="1" applyFont="1" applyBorder="1" applyAlignment="1">
      <alignment horizontal="center" vertical="center"/>
    </xf>
    <xf numFmtId="10" fontId="27" fillId="0" borderId="94" xfId="2" applyNumberFormat="1" applyFont="1" applyBorder="1" applyAlignment="1">
      <alignment horizontal="center" vertical="center"/>
    </xf>
    <xf numFmtId="10" fontId="27" fillId="0" borderId="95" xfId="1" applyNumberFormat="1" applyFont="1" applyBorder="1" applyAlignment="1">
      <alignment horizontal="center" vertical="center"/>
    </xf>
    <xf numFmtId="0" fontId="33" fillId="11" borderId="96" xfId="2" applyFont="1" applyFill="1" applyBorder="1" applyAlignment="1">
      <alignment vertical="center"/>
    </xf>
    <xf numFmtId="0" fontId="33" fillId="11" borderId="97" xfId="2" applyFont="1" applyFill="1" applyBorder="1" applyAlignment="1">
      <alignment vertical="center"/>
    </xf>
    <xf numFmtId="166" fontId="33" fillId="11" borderId="97" xfId="2" applyNumberFormat="1" applyFont="1" applyFill="1" applyBorder="1" applyAlignment="1">
      <alignment vertical="center"/>
    </xf>
    <xf numFmtId="2" fontId="33" fillId="11" borderId="97" xfId="2" applyNumberFormat="1" applyFont="1" applyFill="1" applyBorder="1" applyAlignment="1">
      <alignment vertical="center"/>
    </xf>
    <xf numFmtId="0" fontId="27" fillId="0" borderId="98" xfId="2" applyFont="1" applyBorder="1" applyAlignment="1">
      <alignment horizontal="center" vertical="center"/>
    </xf>
    <xf numFmtId="10" fontId="27" fillId="0" borderId="99" xfId="1" applyNumberFormat="1" applyFont="1" applyBorder="1" applyAlignment="1">
      <alignment horizontal="center" vertical="center"/>
    </xf>
    <xf numFmtId="0" fontId="27" fillId="0" borderId="100" xfId="2" applyFont="1" applyBorder="1" applyAlignment="1">
      <alignment horizontal="center" vertical="center"/>
    </xf>
    <xf numFmtId="10" fontId="27" fillId="0" borderId="101" xfId="1" applyNumberFormat="1" applyFont="1" applyBorder="1" applyAlignment="1">
      <alignment horizontal="center" vertical="center"/>
    </xf>
    <xf numFmtId="0" fontId="33" fillId="12" borderId="86" xfId="2" applyFont="1" applyFill="1" applyBorder="1" applyAlignment="1">
      <alignment vertical="center"/>
    </xf>
    <xf numFmtId="0" fontId="33" fillId="12" borderId="87" xfId="2" applyFont="1" applyFill="1" applyBorder="1" applyAlignment="1">
      <alignment vertical="center"/>
    </xf>
    <xf numFmtId="166" fontId="33" fillId="12" borderId="87" xfId="2" applyNumberFormat="1" applyFont="1" applyFill="1" applyBorder="1" applyAlignment="1">
      <alignment vertical="center"/>
    </xf>
    <xf numFmtId="2" fontId="33" fillId="12" borderId="87" xfId="2" applyNumberFormat="1" applyFont="1" applyFill="1" applyBorder="1" applyAlignment="1">
      <alignment vertical="center"/>
    </xf>
    <xf numFmtId="0" fontId="31" fillId="12" borderId="88" xfId="2" applyFont="1" applyFill="1" applyBorder="1" applyAlignment="1">
      <alignment vertical="center"/>
    </xf>
    <xf numFmtId="169" fontId="27" fillId="12" borderId="102" xfId="6" applyNumberFormat="1" applyFont="1" applyFill="1" applyBorder="1" applyAlignment="1">
      <alignment vertical="center"/>
    </xf>
    <xf numFmtId="167" fontId="27" fillId="12" borderId="89" xfId="6" applyNumberFormat="1" applyFont="1" applyFill="1" applyBorder="1" applyAlignment="1">
      <alignment vertical="center"/>
    </xf>
    <xf numFmtId="169" fontId="27" fillId="12" borderId="91" xfId="6" applyNumberFormat="1" applyFont="1" applyFill="1" applyBorder="1" applyAlignment="1">
      <alignment vertical="center"/>
    </xf>
    <xf numFmtId="0" fontId="33" fillId="12" borderId="92" xfId="2" applyFont="1" applyFill="1" applyBorder="1" applyAlignment="1">
      <alignment vertical="center"/>
    </xf>
    <xf numFmtId="0" fontId="33" fillId="12" borderId="93" xfId="2" applyFont="1" applyFill="1" applyBorder="1" applyAlignment="1">
      <alignment vertical="center"/>
    </xf>
    <xf numFmtId="166" fontId="33" fillId="12" borderId="93" xfId="2" applyNumberFormat="1" applyFont="1" applyFill="1" applyBorder="1" applyAlignment="1">
      <alignment vertical="center"/>
    </xf>
    <xf numFmtId="2" fontId="33" fillId="12" borderId="93" xfId="2" applyNumberFormat="1" applyFont="1" applyFill="1" applyBorder="1" applyAlignment="1">
      <alignment vertical="center"/>
    </xf>
    <xf numFmtId="0" fontId="31" fillId="12" borderId="58" xfId="2" applyFont="1" applyFill="1" applyBorder="1" applyAlignment="1">
      <alignment vertical="center"/>
    </xf>
    <xf numFmtId="169" fontId="27" fillId="12" borderId="103" xfId="6" applyNumberFormat="1" applyFont="1" applyFill="1" applyBorder="1" applyAlignment="1">
      <alignment vertical="center"/>
    </xf>
    <xf numFmtId="164" fontId="31" fillId="12" borderId="104" xfId="5" applyNumberFormat="1" applyFont="1" applyFill="1" applyBorder="1" applyAlignment="1">
      <alignment vertical="center"/>
    </xf>
    <xf numFmtId="169" fontId="27" fillId="12" borderId="95" xfId="6" applyNumberFormat="1" applyFont="1" applyFill="1" applyBorder="1" applyAlignment="1">
      <alignment vertical="center"/>
    </xf>
    <xf numFmtId="0" fontId="33" fillId="12" borderId="96" xfId="2" applyFont="1" applyFill="1" applyBorder="1" applyAlignment="1">
      <alignment vertical="center"/>
    </xf>
    <xf numFmtId="0" fontId="33" fillId="12" borderId="97" xfId="2" applyFont="1" applyFill="1" applyBorder="1" applyAlignment="1">
      <alignment vertical="center"/>
    </xf>
    <xf numFmtId="166" fontId="33" fillId="12" borderId="97" xfId="2" applyNumberFormat="1" applyFont="1" applyFill="1" applyBorder="1" applyAlignment="1">
      <alignment vertical="center"/>
    </xf>
    <xf numFmtId="2" fontId="33" fillId="12" borderId="97" xfId="2" applyNumberFormat="1" applyFont="1" applyFill="1" applyBorder="1" applyAlignment="1">
      <alignment vertical="center"/>
    </xf>
    <xf numFmtId="0" fontId="31" fillId="12" borderId="61" xfId="2" applyFont="1" applyFill="1" applyBorder="1" applyAlignment="1">
      <alignment vertical="center"/>
    </xf>
    <xf numFmtId="169" fontId="27" fillId="12" borderId="99" xfId="2" applyNumberFormat="1" applyFont="1" applyFill="1" applyBorder="1" applyAlignment="1">
      <alignment vertical="center"/>
    </xf>
    <xf numFmtId="0" fontId="31" fillId="12" borderId="105" xfId="2" applyFont="1" applyFill="1" applyBorder="1" applyAlignment="1">
      <alignment vertical="center"/>
    </xf>
    <xf numFmtId="169" fontId="27" fillId="12" borderId="106" xfId="2" applyNumberFormat="1" applyFont="1" applyFill="1" applyBorder="1" applyAlignment="1">
      <alignment vertical="center"/>
    </xf>
    <xf numFmtId="0" fontId="33" fillId="13" borderId="86" xfId="2" applyFont="1" applyFill="1" applyBorder="1" applyAlignment="1">
      <alignment vertical="center"/>
    </xf>
    <xf numFmtId="0" fontId="33" fillId="13" borderId="87" xfId="2" applyFont="1" applyFill="1" applyBorder="1" applyAlignment="1">
      <alignment vertical="center"/>
    </xf>
    <xf numFmtId="166" fontId="33" fillId="13" borderId="87" xfId="2" applyNumberFormat="1" applyFont="1" applyFill="1" applyBorder="1" applyAlignment="1">
      <alignment vertical="center"/>
    </xf>
    <xf numFmtId="2" fontId="33" fillId="13" borderId="87" xfId="2" applyNumberFormat="1" applyFont="1" applyFill="1" applyBorder="1" applyAlignment="1">
      <alignment vertical="center"/>
    </xf>
    <xf numFmtId="169" fontId="27" fillId="13" borderId="86" xfId="2" applyNumberFormat="1" applyFont="1" applyFill="1" applyBorder="1" applyAlignment="1">
      <alignment vertical="center"/>
    </xf>
    <xf numFmtId="169" fontId="27" fillId="13" borderId="89" xfId="2" applyNumberFormat="1" applyFont="1" applyFill="1" applyBorder="1" applyAlignment="1">
      <alignment vertical="center"/>
    </xf>
    <xf numFmtId="164" fontId="27" fillId="13" borderId="89" xfId="2" applyNumberFormat="1" applyFont="1" applyFill="1" applyBorder="1" applyAlignment="1">
      <alignment vertical="center"/>
    </xf>
    <xf numFmtId="164" fontId="27" fillId="13" borderId="91" xfId="2" applyNumberFormat="1" applyFont="1" applyFill="1" applyBorder="1" applyAlignment="1">
      <alignment vertical="center"/>
    </xf>
    <xf numFmtId="0" fontId="33" fillId="13" borderId="92" xfId="2" applyFont="1" applyFill="1" applyBorder="1" applyAlignment="1">
      <alignment vertical="center"/>
    </xf>
    <xf numFmtId="0" fontId="33" fillId="13" borderId="93" xfId="2" applyFont="1" applyFill="1" applyBorder="1" applyAlignment="1">
      <alignment vertical="center"/>
    </xf>
    <xf numFmtId="166" fontId="33" fillId="13" borderId="93" xfId="2" applyNumberFormat="1" applyFont="1" applyFill="1" applyBorder="1" applyAlignment="1">
      <alignment vertical="center"/>
    </xf>
    <xf numFmtId="2" fontId="33" fillId="13" borderId="93" xfId="2" applyNumberFormat="1" applyFont="1" applyFill="1" applyBorder="1" applyAlignment="1">
      <alignment vertical="center"/>
    </xf>
    <xf numFmtId="169" fontId="27" fillId="13" borderId="92" xfId="2" applyNumberFormat="1" applyFont="1" applyFill="1" applyBorder="1" applyAlignment="1">
      <alignment vertical="center"/>
    </xf>
    <xf numFmtId="169" fontId="27" fillId="13" borderId="104" xfId="2" applyNumberFormat="1" applyFont="1" applyFill="1" applyBorder="1" applyAlignment="1">
      <alignment vertical="center"/>
    </xf>
    <xf numFmtId="170" fontId="31" fillId="13" borderId="104" xfId="2" applyNumberFormat="1" applyFont="1" applyFill="1" applyBorder="1" applyAlignment="1">
      <alignment vertical="center"/>
    </xf>
    <xf numFmtId="170" fontId="31" fillId="13" borderId="95" xfId="2" applyNumberFormat="1" applyFont="1" applyFill="1" applyBorder="1" applyAlignment="1">
      <alignment vertical="center"/>
    </xf>
    <xf numFmtId="0" fontId="33" fillId="13" borderId="107" xfId="2" applyFont="1" applyFill="1" applyBorder="1" applyAlignment="1">
      <alignment vertical="center"/>
    </xf>
    <xf numFmtId="0" fontId="33" fillId="13" borderId="108" xfId="2" applyFont="1" applyFill="1" applyBorder="1" applyAlignment="1">
      <alignment vertical="center"/>
    </xf>
    <xf numFmtId="166" fontId="33" fillId="13" borderId="108" xfId="2" applyNumberFormat="1" applyFont="1" applyFill="1" applyBorder="1" applyAlignment="1">
      <alignment vertical="center"/>
    </xf>
    <xf numFmtId="2" fontId="33" fillId="13" borderId="108" xfId="2" applyNumberFormat="1" applyFont="1" applyFill="1" applyBorder="1" applyAlignment="1">
      <alignment vertical="center"/>
    </xf>
    <xf numFmtId="169" fontId="27" fillId="13" borderId="107" xfId="2" applyNumberFormat="1" applyFont="1" applyFill="1" applyBorder="1" applyAlignment="1">
      <alignment vertical="center"/>
    </xf>
    <xf numFmtId="169" fontId="27" fillId="13" borderId="109" xfId="2" applyNumberFormat="1" applyFont="1" applyFill="1" applyBorder="1" applyAlignment="1">
      <alignment vertical="center"/>
    </xf>
    <xf numFmtId="0" fontId="31" fillId="13" borderId="109" xfId="2" applyFont="1" applyFill="1" applyBorder="1" applyAlignment="1">
      <alignment vertical="center"/>
    </xf>
    <xf numFmtId="167" fontId="31" fillId="13" borderId="110" xfId="2" applyNumberFormat="1" applyFont="1" applyFill="1" applyBorder="1" applyAlignment="1">
      <alignment vertical="center"/>
    </xf>
    <xf numFmtId="0" fontId="8" fillId="0" borderId="0" xfId="2" applyFont="1"/>
    <xf numFmtId="166" fontId="8" fillId="0" borderId="0" xfId="2" applyNumberFormat="1" applyFont="1"/>
    <xf numFmtId="2" fontId="8" fillId="0" borderId="0" xfId="2" applyNumberFormat="1" applyFont="1"/>
    <xf numFmtId="167" fontId="31" fillId="0" borderId="0" xfId="2" applyNumberFormat="1" applyFont="1" applyAlignment="1">
      <alignment vertical="center"/>
    </xf>
    <xf numFmtId="171" fontId="31" fillId="0" borderId="0" xfId="2" applyNumberFormat="1" applyFont="1" applyAlignment="1">
      <alignment vertical="center"/>
    </xf>
    <xf numFmtId="0" fontId="34" fillId="0" borderId="0" xfId="2" applyFont="1" applyAlignment="1">
      <alignment horizontal="right" vertical="center"/>
    </xf>
    <xf numFmtId="0" fontId="31" fillId="0" borderId="0" xfId="2" applyFont="1" applyAlignment="1">
      <alignment vertical="center"/>
    </xf>
    <xf numFmtId="0" fontId="31" fillId="0" borderId="0" xfId="2" applyFont="1" applyAlignment="1">
      <alignment horizontal="center" vertical="center"/>
    </xf>
    <xf numFmtId="166" fontId="8" fillId="0" borderId="0" xfId="0" applyNumberFormat="1" applyFont="1"/>
    <xf numFmtId="0" fontId="8" fillId="0" borderId="0" xfId="2" applyFont="1" applyAlignment="1">
      <alignment horizontal="center"/>
    </xf>
    <xf numFmtId="0" fontId="35" fillId="0" borderId="0" xfId="2" applyFont="1" applyAlignment="1">
      <alignment horizontal="center" vertical="center"/>
    </xf>
    <xf numFmtId="0" fontId="35" fillId="0" borderId="0" xfId="2" applyFont="1" applyAlignment="1">
      <alignment vertical="center"/>
    </xf>
    <xf numFmtId="0" fontId="32" fillId="0" borderId="81" xfId="2" applyFont="1" applyBorder="1" applyAlignment="1">
      <alignment horizontal="left" vertical="center"/>
    </xf>
    <xf numFmtId="0" fontId="32" fillId="0" borderId="82" xfId="2" applyFont="1" applyBorder="1" applyAlignment="1">
      <alignment horizontal="left" vertical="center"/>
    </xf>
    <xf numFmtId="0" fontId="32" fillId="0" borderId="76" xfId="2" applyFont="1" applyBorder="1" applyAlignment="1">
      <alignment horizontal="left" vertical="center"/>
    </xf>
    <xf numFmtId="0" fontId="32" fillId="0" borderId="83" xfId="2" applyFont="1" applyBorder="1" applyAlignment="1">
      <alignment horizontal="left" vertical="center"/>
    </xf>
    <xf numFmtId="0" fontId="32" fillId="0" borderId="84" xfId="2" applyFont="1" applyBorder="1" applyAlignment="1">
      <alignment horizontal="left" vertical="center"/>
    </xf>
    <xf numFmtId="0" fontId="32" fillId="0" borderId="85" xfId="2" applyFont="1" applyBorder="1" applyAlignment="1">
      <alignment horizontal="left" vertical="center"/>
    </xf>
    <xf numFmtId="0" fontId="31" fillId="10" borderId="65" xfId="2" applyFont="1" applyFill="1" applyBorder="1" applyAlignment="1">
      <alignment horizontal="center" vertical="center"/>
    </xf>
    <xf numFmtId="0" fontId="31" fillId="10" borderId="66" xfId="2" applyFont="1" applyFill="1" applyBorder="1" applyAlignment="1">
      <alignment horizontal="center" vertical="center"/>
    </xf>
    <xf numFmtId="0" fontId="31" fillId="10" borderId="67" xfId="2" applyFont="1" applyFill="1" applyBorder="1" applyAlignment="1">
      <alignment horizontal="center" vertical="center"/>
    </xf>
    <xf numFmtId="0" fontId="32" fillId="0" borderId="73" xfId="2" applyFont="1" applyBorder="1" applyAlignment="1">
      <alignment horizontal="left" vertical="center"/>
    </xf>
    <xf numFmtId="0" fontId="32" fillId="0" borderId="74" xfId="2" applyFont="1" applyBorder="1" applyAlignment="1">
      <alignment horizontal="left" vertical="center"/>
    </xf>
    <xf numFmtId="0" fontId="32" fillId="0" borderId="75" xfId="2" applyFont="1" applyBorder="1" applyAlignment="1">
      <alignment horizontal="left" vertical="center"/>
    </xf>
    <xf numFmtId="0" fontId="27" fillId="10" borderId="15" xfId="4" applyFont="1" applyFill="1" applyBorder="1" applyAlignment="1">
      <alignment horizontal="center" vertical="center"/>
    </xf>
    <xf numFmtId="0" fontId="27" fillId="10" borderId="16" xfId="4" applyFont="1" applyFill="1" applyBorder="1" applyAlignment="1">
      <alignment horizontal="center" vertical="center"/>
    </xf>
    <xf numFmtId="0" fontId="27" fillId="10" borderId="10" xfId="4" applyFont="1" applyFill="1" applyBorder="1" applyAlignment="1">
      <alignment horizontal="center" vertical="center"/>
    </xf>
    <xf numFmtId="0" fontId="27" fillId="10" borderId="11" xfId="4" applyFont="1" applyFill="1" applyBorder="1" applyAlignment="1">
      <alignment horizontal="center" vertical="center"/>
    </xf>
    <xf numFmtId="0" fontId="27" fillId="0" borderId="12" xfId="2" applyFont="1" applyBorder="1" applyAlignment="1">
      <alignment horizontal="center" vertical="center"/>
    </xf>
    <xf numFmtId="0" fontId="27" fillId="0" borderId="69" xfId="2" applyFont="1" applyBorder="1" applyAlignment="1">
      <alignment horizontal="center" vertical="center"/>
    </xf>
    <xf numFmtId="0" fontId="27" fillId="0" borderId="19" xfId="2" applyFont="1" applyBorder="1" applyAlignment="1">
      <alignment horizontal="center" vertical="center"/>
    </xf>
    <xf numFmtId="0" fontId="27" fillId="0" borderId="70" xfId="2" applyFont="1" applyBorder="1" applyAlignment="1">
      <alignment horizontal="center" vertical="center"/>
    </xf>
    <xf numFmtId="0" fontId="27" fillId="0" borderId="63" xfId="2" applyFont="1" applyBorder="1" applyAlignment="1">
      <alignment horizontal="center" vertical="center"/>
    </xf>
    <xf numFmtId="0" fontId="27" fillId="0" borderId="71" xfId="2" applyFont="1" applyBorder="1" applyAlignment="1">
      <alignment horizontal="center" vertical="center"/>
    </xf>
    <xf numFmtId="0" fontId="28" fillId="8" borderId="0" xfId="2" applyFont="1" applyFill="1" applyAlignment="1">
      <alignment horizontal="center" vertical="center"/>
    </xf>
    <xf numFmtId="0" fontId="27" fillId="0" borderId="0" xfId="2" applyFont="1" applyAlignment="1">
      <alignment horizontal="left" vertical="center" wrapText="1"/>
    </xf>
    <xf numFmtId="0" fontId="27" fillId="0" borderId="0" xfId="2" applyFont="1" applyAlignment="1">
      <alignment horizontal="right" vertical="center" wrapText="1"/>
    </xf>
    <xf numFmtId="0" fontId="27" fillId="9" borderId="51" xfId="2" applyFont="1" applyFill="1" applyBorder="1" applyAlignment="1">
      <alignment horizontal="center" vertical="center"/>
    </xf>
    <xf numFmtId="0" fontId="27" fillId="9" borderId="58" xfId="2" applyFont="1" applyFill="1" applyBorder="1" applyAlignment="1">
      <alignment horizontal="center" vertical="center"/>
    </xf>
    <xf numFmtId="0" fontId="27" fillId="9" borderId="61" xfId="2" applyFont="1" applyFill="1" applyBorder="1" applyAlignment="1">
      <alignment horizontal="center" vertical="center"/>
    </xf>
    <xf numFmtId="0" fontId="27" fillId="9" borderId="52" xfId="2" applyFont="1" applyFill="1" applyBorder="1" applyAlignment="1">
      <alignment horizontal="center" vertical="center"/>
    </xf>
    <xf numFmtId="0" fontId="27" fillId="9" borderId="2" xfId="2" applyFont="1" applyFill="1" applyBorder="1" applyAlignment="1">
      <alignment horizontal="center" vertical="center"/>
    </xf>
    <xf numFmtId="0" fontId="27" fillId="9" borderId="59" xfId="2" applyFont="1" applyFill="1" applyBorder="1" applyAlignment="1">
      <alignment horizontal="center" vertical="center"/>
    </xf>
    <xf numFmtId="0" fontId="27" fillId="9" borderId="0" xfId="2" applyFont="1" applyFill="1" applyAlignment="1">
      <alignment horizontal="center" vertical="center"/>
    </xf>
    <xf numFmtId="166" fontId="27" fillId="9" borderId="53" xfId="2" applyNumberFormat="1" applyFont="1" applyFill="1" applyBorder="1" applyAlignment="1">
      <alignment horizontal="center" vertical="center" wrapText="1"/>
    </xf>
    <xf numFmtId="166" fontId="27" fillId="9" borderId="20" xfId="2" applyNumberFormat="1" applyFont="1" applyFill="1" applyBorder="1" applyAlignment="1">
      <alignment horizontal="center" vertical="center" wrapText="1"/>
    </xf>
    <xf numFmtId="166" fontId="27" fillId="9" borderId="21" xfId="2" applyNumberFormat="1" applyFont="1" applyFill="1" applyBorder="1" applyAlignment="1">
      <alignment horizontal="center" vertical="center" wrapText="1"/>
    </xf>
    <xf numFmtId="2" fontId="27" fillId="9" borderId="54" xfId="2" applyNumberFormat="1" applyFont="1" applyFill="1" applyBorder="1" applyAlignment="1">
      <alignment horizontal="center" vertical="center" wrapText="1"/>
    </xf>
    <xf numFmtId="2" fontId="27" fillId="9" borderId="60" xfId="2" applyNumberFormat="1" applyFont="1" applyFill="1" applyBorder="1" applyAlignment="1">
      <alignment horizontal="center" vertical="center" wrapText="1"/>
    </xf>
    <xf numFmtId="2" fontId="27" fillId="9" borderId="62" xfId="2" applyNumberFormat="1" applyFont="1" applyFill="1" applyBorder="1" applyAlignment="1">
      <alignment horizontal="center" vertical="center" wrapText="1"/>
    </xf>
    <xf numFmtId="0" fontId="27" fillId="9" borderId="55" xfId="2" applyFont="1" applyFill="1" applyBorder="1" applyAlignment="1">
      <alignment horizontal="center" vertical="center"/>
    </xf>
    <xf numFmtId="0" fontId="27" fillId="9" borderId="56" xfId="2" applyFont="1" applyFill="1" applyBorder="1" applyAlignment="1">
      <alignment horizontal="center" vertical="center"/>
    </xf>
    <xf numFmtId="0" fontId="27" fillId="9" borderId="57" xfId="2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9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164" fontId="2" fillId="2" borderId="10" xfId="0" applyNumberFormat="1" applyFont="1" applyFill="1" applyBorder="1" applyAlignment="1">
      <alignment horizontal="center"/>
    </xf>
    <xf numFmtId="164" fontId="2" fillId="2" borderId="11" xfId="0" applyNumberFormat="1" applyFont="1" applyFill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9" fontId="2" fillId="0" borderId="19" xfId="0" applyNumberFormat="1" applyFont="1" applyBorder="1" applyAlignment="1">
      <alignment horizontal="center" vertical="center"/>
    </xf>
    <xf numFmtId="9" fontId="2" fillId="0" borderId="20" xfId="0" applyNumberFormat="1" applyFont="1" applyBorder="1" applyAlignment="1">
      <alignment horizontal="center" vertical="center"/>
    </xf>
    <xf numFmtId="9" fontId="2" fillId="0" borderId="21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22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164" fontId="2" fillId="2" borderId="17" xfId="0" applyNumberFormat="1" applyFont="1" applyFill="1" applyBorder="1" applyAlignment="1">
      <alignment horizontal="center"/>
    </xf>
    <xf numFmtId="164" fontId="2" fillId="2" borderId="18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10" xfId="0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4" fontId="5" fillId="2" borderId="27" xfId="0" applyNumberFormat="1" applyFont="1" applyFill="1" applyBorder="1" applyAlignment="1">
      <alignment horizontal="center"/>
    </xf>
    <xf numFmtId="164" fontId="5" fillId="2" borderId="28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5" xfId="0" applyFont="1" applyBorder="1"/>
    <xf numFmtId="0" fontId="7" fillId="0" borderId="5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4" fontId="3" fillId="2" borderId="10" xfId="0" applyNumberFormat="1" applyFont="1" applyFill="1" applyBorder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10" fillId="0" borderId="30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4" fillId="7" borderId="1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8" xfId="0" applyBorder="1" applyAlignment="1">
      <alignment horizontal="center" vertical="top" wrapText="1"/>
    </xf>
    <xf numFmtId="0" fontId="0" fillId="0" borderId="49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24" fillId="7" borderId="10" xfId="0" applyFont="1" applyFill="1" applyBorder="1" applyAlignment="1">
      <alignment horizontal="center" vertical="center"/>
    </xf>
    <xf numFmtId="44" fontId="0" fillId="0" borderId="10" xfId="0" applyNumberFormat="1" applyBorder="1" applyAlignment="1">
      <alignment horizontal="center" vertical="top"/>
    </xf>
    <xf numFmtId="0" fontId="25" fillId="0" borderId="10" xfId="0" applyFont="1" applyBorder="1" applyAlignment="1">
      <alignment horizontal="center" vertical="top"/>
    </xf>
    <xf numFmtId="0" fontId="18" fillId="0" borderId="0" xfId="0" applyFont="1" applyAlignment="1">
      <alignment horizontal="left" vertical="top"/>
    </xf>
    <xf numFmtId="0" fontId="18" fillId="0" borderId="5" xfId="0" applyFont="1" applyBorder="1" applyAlignment="1">
      <alignment horizontal="left" vertical="top"/>
    </xf>
    <xf numFmtId="0" fontId="18" fillId="0" borderId="17" xfId="0" applyFont="1" applyBorder="1" applyAlignment="1">
      <alignment horizontal="center" vertical="top"/>
    </xf>
    <xf numFmtId="0" fontId="18" fillId="0" borderId="29" xfId="0" applyFont="1" applyBorder="1" applyAlignment="1">
      <alignment horizontal="center" vertical="top"/>
    </xf>
    <xf numFmtId="0" fontId="18" fillId="0" borderId="16" xfId="0" applyFont="1" applyBorder="1" applyAlignment="1">
      <alignment horizontal="center" vertical="top"/>
    </xf>
    <xf numFmtId="44" fontId="0" fillId="0" borderId="10" xfId="0" applyNumberFormat="1" applyBorder="1" applyAlignment="1">
      <alignment vertical="center"/>
    </xf>
    <xf numFmtId="0" fontId="0" fillId="0" borderId="17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18" fillId="0" borderId="10" xfId="0" applyFont="1" applyBorder="1" applyAlignment="1">
      <alignment horizontal="right" vertical="top"/>
    </xf>
    <xf numFmtId="0" fontId="0" fillId="0" borderId="10" xfId="0" applyBorder="1" applyAlignment="1">
      <alignment horizontal="right" vertical="top"/>
    </xf>
    <xf numFmtId="0" fontId="0" fillId="0" borderId="5" xfId="0" applyBorder="1" applyAlignment="1">
      <alignment horizontal="left" vertical="top"/>
    </xf>
    <xf numFmtId="0" fontId="18" fillId="0" borderId="10" xfId="0" applyFont="1" applyBorder="1" applyAlignment="1">
      <alignment horizontal="center" vertical="top"/>
    </xf>
    <xf numFmtId="0" fontId="18" fillId="0" borderId="17" xfId="0" applyFont="1" applyBorder="1" applyAlignment="1">
      <alignment horizontal="left" vertical="top"/>
    </xf>
    <xf numFmtId="0" fontId="18" fillId="0" borderId="29" xfId="0" applyFont="1" applyBorder="1" applyAlignment="1">
      <alignment horizontal="left" vertical="top"/>
    </xf>
    <xf numFmtId="0" fontId="18" fillId="0" borderId="18" xfId="0" applyFont="1" applyBorder="1" applyAlignment="1">
      <alignment horizontal="left" vertical="top"/>
    </xf>
    <xf numFmtId="0" fontId="18" fillId="0" borderId="48" xfId="0" applyFont="1" applyBorder="1" applyAlignment="1">
      <alignment horizontal="right" vertical="top"/>
    </xf>
    <xf numFmtId="0" fontId="0" fillId="0" borderId="49" xfId="0" applyBorder="1" applyAlignment="1">
      <alignment horizontal="right" vertical="top"/>
    </xf>
    <xf numFmtId="44" fontId="0" fillId="0" borderId="49" xfId="0" applyNumberFormat="1" applyBorder="1" applyAlignment="1">
      <alignment horizontal="center" vertical="top"/>
    </xf>
    <xf numFmtId="44" fontId="0" fillId="0" borderId="50" xfId="0" applyNumberFormat="1" applyBorder="1" applyAlignment="1">
      <alignment horizontal="center" vertical="top"/>
    </xf>
    <xf numFmtId="164" fontId="14" fillId="0" borderId="35" xfId="0" applyNumberFormat="1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40" xfId="0" applyFont="1" applyBorder="1" applyAlignment="1">
      <alignment horizontal="center"/>
    </xf>
    <xf numFmtId="0" fontId="20" fillId="0" borderId="35" xfId="0" applyFont="1" applyBorder="1" applyAlignment="1">
      <alignment horizontal="center"/>
    </xf>
    <xf numFmtId="0" fontId="14" fillId="0" borderId="35" xfId="0" applyFont="1" applyBorder="1" applyAlignment="1">
      <alignment horizontal="center"/>
    </xf>
  </cellXfs>
  <cellStyles count="7">
    <cellStyle name="Comma [0] 3" xfId="6" xr:uid="{1AF1631B-1FF0-46D7-A110-A7B4ED5516F7}"/>
    <cellStyle name="Currency [0] 2" xfId="3" xr:uid="{01446811-58B6-4BC0-9456-C779E1A18BD2}"/>
    <cellStyle name="Normal" xfId="0" builtinId="0"/>
    <cellStyle name="Normal 2 7" xfId="4" xr:uid="{D527CBEA-5646-4821-9F39-840964511E0D}"/>
    <cellStyle name="Normal 3" xfId="2" xr:uid="{A7917B47-4A7C-4A56-BD02-7DFE18B8BE59}"/>
    <cellStyle name="Percent" xfId="1" builtinId="5"/>
    <cellStyle name="Percent 3" xfId="5" xr:uid="{42DF941C-1BC5-4215-A1B9-9FD4969AF3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12700</xdr:rowOff>
    </xdr:from>
    <xdr:to>
      <xdr:col>7</xdr:col>
      <xdr:colOff>38100</xdr:colOff>
      <xdr:row>3</xdr:row>
      <xdr:rowOff>109854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5351C2-FFD9-4F81-B619-587B48898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700"/>
          <a:ext cx="8039100" cy="6305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E949-5179-436B-A964-65E2BF5E6C5B}">
  <dimension ref="A1:F89"/>
  <sheetViews>
    <sheetView workbookViewId="0">
      <selection activeCell="H9" sqref="H9"/>
    </sheetView>
  </sheetViews>
  <sheetFormatPr defaultRowHeight="14.4" x14ac:dyDescent="0.3"/>
  <cols>
    <col min="1" max="1" width="5.21875" customWidth="1"/>
    <col min="2" max="2" width="46.21875" bestFit="1" customWidth="1"/>
    <col min="5" max="5" width="13.44140625" bestFit="1" customWidth="1"/>
    <col min="6" max="6" width="10.109375" customWidth="1"/>
  </cols>
  <sheetData>
    <row r="1" spans="1:6" ht="18" x14ac:dyDescent="0.35">
      <c r="A1" s="264" t="s">
        <v>0</v>
      </c>
      <c r="B1" s="265"/>
      <c r="C1" s="266"/>
      <c r="D1" s="266"/>
      <c r="E1" s="266"/>
      <c r="F1" s="267"/>
    </row>
    <row r="2" spans="1:6" ht="18" x14ac:dyDescent="0.35">
      <c r="A2" s="268" t="s">
        <v>1</v>
      </c>
      <c r="B2" s="269"/>
      <c r="C2" s="269"/>
      <c r="D2" s="269"/>
      <c r="E2" s="269"/>
      <c r="F2" s="270"/>
    </row>
    <row r="3" spans="1:6" ht="15.6" x14ac:dyDescent="0.3">
      <c r="A3" s="1" t="s">
        <v>2</v>
      </c>
      <c r="B3" s="2" t="s">
        <v>3</v>
      </c>
      <c r="C3" s="271"/>
      <c r="D3" s="271"/>
      <c r="E3" s="4"/>
      <c r="F3" s="5"/>
    </row>
    <row r="4" spans="1:6" ht="16.2" thickBot="1" x14ac:dyDescent="0.35">
      <c r="A4" s="1" t="s">
        <v>2</v>
      </c>
      <c r="B4" s="2" t="s">
        <v>4</v>
      </c>
      <c r="C4" s="272">
        <v>13125000</v>
      </c>
      <c r="D4" s="272"/>
      <c r="E4" s="4"/>
      <c r="F4" s="5"/>
    </row>
    <row r="5" spans="1:6" ht="15" thickTop="1" x14ac:dyDescent="0.3">
      <c r="A5" s="273" t="s">
        <v>5</v>
      </c>
      <c r="B5" s="275" t="s">
        <v>6</v>
      </c>
      <c r="C5" s="276" t="s">
        <v>7</v>
      </c>
      <c r="D5" s="276"/>
      <c r="E5" s="275" t="s">
        <v>8</v>
      </c>
      <c r="F5" s="277"/>
    </row>
    <row r="6" spans="1:6" x14ac:dyDescent="0.3">
      <c r="A6" s="274"/>
      <c r="B6" s="261"/>
      <c r="C6" s="6" t="s">
        <v>9</v>
      </c>
      <c r="D6" s="6" t="s">
        <v>10</v>
      </c>
      <c r="E6" s="261"/>
      <c r="F6" s="278"/>
    </row>
    <row r="7" spans="1:6" x14ac:dyDescent="0.3">
      <c r="A7" s="255">
        <v>1</v>
      </c>
      <c r="B7" s="258" t="s">
        <v>11</v>
      </c>
      <c r="C7" s="258"/>
      <c r="D7" s="258"/>
      <c r="E7" s="258"/>
      <c r="F7" s="259"/>
    </row>
    <row r="8" spans="1:6" x14ac:dyDescent="0.3">
      <c r="A8" s="256"/>
      <c r="B8" s="7" t="s">
        <v>12</v>
      </c>
      <c r="C8" s="8">
        <v>0.06</v>
      </c>
      <c r="D8" s="260">
        <v>0.09</v>
      </c>
      <c r="E8" s="262">
        <v>71820</v>
      </c>
      <c r="F8" s="263"/>
    </row>
    <row r="9" spans="1:6" x14ac:dyDescent="0.3">
      <c r="A9" s="256"/>
      <c r="B9" s="7" t="s">
        <v>13</v>
      </c>
      <c r="C9" s="8">
        <v>0.04</v>
      </c>
      <c r="D9" s="261"/>
      <c r="E9" s="262">
        <v>47880</v>
      </c>
      <c r="F9" s="263"/>
    </row>
    <row r="10" spans="1:6" x14ac:dyDescent="0.3">
      <c r="A10" s="256"/>
      <c r="B10" s="7" t="s">
        <v>14</v>
      </c>
      <c r="C10" s="8">
        <v>0.46</v>
      </c>
      <c r="D10" s="261"/>
      <c r="E10" s="262">
        <v>550620</v>
      </c>
      <c r="F10" s="263"/>
    </row>
    <row r="11" spans="1:6" x14ac:dyDescent="0.3">
      <c r="A11" s="257"/>
      <c r="B11" s="7" t="s">
        <v>15</v>
      </c>
      <c r="C11" s="8">
        <v>0.44</v>
      </c>
      <c r="D11" s="261"/>
      <c r="E11" s="262">
        <v>526680</v>
      </c>
      <c r="F11" s="263"/>
    </row>
    <row r="12" spans="1:6" x14ac:dyDescent="0.3">
      <c r="A12" s="279"/>
      <c r="B12" s="280"/>
      <c r="C12" s="9">
        <f>SUM(C8:C11)</f>
        <v>1</v>
      </c>
      <c r="D12" s="10"/>
      <c r="E12" s="281">
        <f>SUM(E8:F11)</f>
        <v>1197000</v>
      </c>
      <c r="F12" s="282"/>
    </row>
    <row r="13" spans="1:6" x14ac:dyDescent="0.3">
      <c r="A13" s="255">
        <v>2</v>
      </c>
      <c r="B13" s="258" t="s">
        <v>16</v>
      </c>
      <c r="C13" s="258"/>
      <c r="D13" s="258"/>
      <c r="E13" s="258"/>
      <c r="F13" s="259"/>
    </row>
    <row r="14" spans="1:6" x14ac:dyDescent="0.3">
      <c r="A14" s="256"/>
      <c r="B14" s="7" t="s">
        <v>17</v>
      </c>
      <c r="C14" s="8">
        <v>0.33</v>
      </c>
      <c r="D14" s="260">
        <v>0.26</v>
      </c>
      <c r="E14" s="262">
        <v>1891140</v>
      </c>
      <c r="F14" s="263"/>
    </row>
    <row r="15" spans="1:6" x14ac:dyDescent="0.3">
      <c r="A15" s="256"/>
      <c r="B15" s="7" t="s">
        <v>18</v>
      </c>
      <c r="C15" s="8">
        <v>0.09</v>
      </c>
      <c r="D15" s="261"/>
      <c r="E15" s="262">
        <v>311220</v>
      </c>
      <c r="F15" s="263"/>
    </row>
    <row r="16" spans="1:6" x14ac:dyDescent="0.3">
      <c r="A16" s="256"/>
      <c r="B16" s="7" t="s">
        <v>19</v>
      </c>
      <c r="C16" s="8">
        <v>0.15</v>
      </c>
      <c r="D16" s="261"/>
      <c r="E16" s="262">
        <v>518700</v>
      </c>
      <c r="F16" s="263"/>
    </row>
    <row r="17" spans="1:6" x14ac:dyDescent="0.3">
      <c r="A17" s="256"/>
      <c r="B17" s="7" t="s">
        <v>20</v>
      </c>
      <c r="C17" s="8">
        <v>0.18</v>
      </c>
      <c r="D17" s="261"/>
      <c r="E17" s="283">
        <v>622440</v>
      </c>
      <c r="F17" s="284"/>
    </row>
    <row r="18" spans="1:6" x14ac:dyDescent="0.3">
      <c r="A18" s="256"/>
      <c r="B18" s="7" t="s">
        <v>21</v>
      </c>
      <c r="C18" s="8">
        <v>0.1</v>
      </c>
      <c r="D18" s="261"/>
      <c r="E18" s="262">
        <v>345800</v>
      </c>
      <c r="F18" s="263"/>
    </row>
    <row r="19" spans="1:6" x14ac:dyDescent="0.3">
      <c r="A19" s="257"/>
      <c r="B19" s="7" t="s">
        <v>22</v>
      </c>
      <c r="C19" s="8">
        <v>0.15</v>
      </c>
      <c r="D19" s="261"/>
      <c r="E19" s="262">
        <v>518700</v>
      </c>
      <c r="F19" s="263"/>
    </row>
    <row r="20" spans="1:6" x14ac:dyDescent="0.3">
      <c r="A20" s="288"/>
      <c r="B20" s="289"/>
      <c r="C20" s="9">
        <f>SUM(C14:C19)</f>
        <v>1</v>
      </c>
      <c r="D20" s="12"/>
      <c r="E20" s="281">
        <f>SUM(E14:F19)</f>
        <v>4208000</v>
      </c>
      <c r="F20" s="282"/>
    </row>
    <row r="21" spans="1:6" x14ac:dyDescent="0.3">
      <c r="A21" s="255">
        <v>3</v>
      </c>
      <c r="B21" s="258" t="s">
        <v>23</v>
      </c>
      <c r="C21" s="258"/>
      <c r="D21" s="258"/>
      <c r="E21" s="258"/>
      <c r="F21" s="259"/>
    </row>
    <row r="22" spans="1:6" x14ac:dyDescent="0.3">
      <c r="A22" s="256"/>
      <c r="B22" s="7" t="s">
        <v>24</v>
      </c>
      <c r="C22" s="8">
        <v>0.7</v>
      </c>
      <c r="D22" s="260">
        <v>0.2</v>
      </c>
      <c r="E22" s="262">
        <v>1512000</v>
      </c>
      <c r="F22" s="263"/>
    </row>
    <row r="23" spans="1:6" x14ac:dyDescent="0.3">
      <c r="A23" s="257"/>
      <c r="B23" s="7" t="s">
        <v>25</v>
      </c>
      <c r="C23" s="8">
        <v>0.3</v>
      </c>
      <c r="D23" s="261"/>
      <c r="E23" s="262">
        <v>798000</v>
      </c>
      <c r="F23" s="263"/>
    </row>
    <row r="24" spans="1:6" x14ac:dyDescent="0.3">
      <c r="A24" s="13"/>
      <c r="B24" s="14"/>
      <c r="C24" s="9">
        <f>SUM(C22:C23)</f>
        <v>1</v>
      </c>
      <c r="D24" s="12"/>
      <c r="E24" s="281">
        <f>E22+E23</f>
        <v>2310000</v>
      </c>
      <c r="F24" s="282"/>
    </row>
    <row r="25" spans="1:6" x14ac:dyDescent="0.3">
      <c r="A25" s="285">
        <v>4</v>
      </c>
      <c r="B25" s="258" t="s">
        <v>26</v>
      </c>
      <c r="C25" s="258"/>
      <c r="D25" s="258"/>
      <c r="E25" s="258"/>
      <c r="F25" s="259"/>
    </row>
    <row r="26" spans="1:6" x14ac:dyDescent="0.3">
      <c r="A26" s="286"/>
      <c r="B26" s="7" t="s">
        <v>27</v>
      </c>
      <c r="C26" s="8">
        <v>0.45</v>
      </c>
      <c r="D26" s="260">
        <v>0.02</v>
      </c>
      <c r="E26" s="262">
        <v>119700</v>
      </c>
      <c r="F26" s="263"/>
    </row>
    <row r="27" spans="1:6" x14ac:dyDescent="0.3">
      <c r="A27" s="286"/>
      <c r="B27" s="7" t="s">
        <v>28</v>
      </c>
      <c r="C27" s="8">
        <v>0.45</v>
      </c>
      <c r="D27" s="261"/>
      <c r="E27" s="262">
        <v>119700</v>
      </c>
      <c r="F27" s="263"/>
    </row>
    <row r="28" spans="1:6" x14ac:dyDescent="0.3">
      <c r="A28" s="286"/>
      <c r="B28" s="7" t="s">
        <v>29</v>
      </c>
      <c r="C28" s="8">
        <v>0.1</v>
      </c>
      <c r="D28" s="261"/>
      <c r="E28" s="262">
        <v>26600</v>
      </c>
      <c r="F28" s="263"/>
    </row>
    <row r="29" spans="1:6" x14ac:dyDescent="0.3">
      <c r="A29" s="287"/>
      <c r="B29" s="7"/>
      <c r="C29" s="8"/>
      <c r="D29" s="261"/>
      <c r="E29" s="262">
        <f>E30*C29</f>
        <v>0</v>
      </c>
      <c r="F29" s="263"/>
    </row>
    <row r="30" spans="1:6" x14ac:dyDescent="0.3">
      <c r="A30" s="288"/>
      <c r="B30" s="289"/>
      <c r="C30" s="9">
        <f>SUM(C26:C29)</f>
        <v>1</v>
      </c>
      <c r="D30" s="12"/>
      <c r="E30" s="281">
        <f>SUM(E26:F28)</f>
        <v>266000</v>
      </c>
      <c r="F30" s="282"/>
    </row>
    <row r="31" spans="1:6" x14ac:dyDescent="0.3">
      <c r="A31" s="285">
        <v>5</v>
      </c>
      <c r="B31" s="258" t="s">
        <v>30</v>
      </c>
      <c r="C31" s="258"/>
      <c r="D31" s="258"/>
      <c r="E31" s="258"/>
      <c r="F31" s="259"/>
    </row>
    <row r="32" spans="1:6" x14ac:dyDescent="0.3">
      <c r="A32" s="286"/>
      <c r="B32" s="7" t="s">
        <v>31</v>
      </c>
      <c r="C32" s="8">
        <v>0.39</v>
      </c>
      <c r="D32" s="290">
        <v>0.13</v>
      </c>
      <c r="E32" s="262">
        <v>674310</v>
      </c>
      <c r="F32" s="263"/>
    </row>
    <row r="33" spans="1:6" x14ac:dyDescent="0.3">
      <c r="A33" s="286"/>
      <c r="B33" s="7" t="s">
        <v>32</v>
      </c>
      <c r="C33" s="8">
        <v>0.55000000000000004</v>
      </c>
      <c r="D33" s="291"/>
      <c r="E33" s="262">
        <v>950950</v>
      </c>
      <c r="F33" s="263"/>
    </row>
    <row r="34" spans="1:6" x14ac:dyDescent="0.3">
      <c r="A34" s="287"/>
      <c r="B34" s="7" t="s">
        <v>33</v>
      </c>
      <c r="C34" s="8">
        <v>0.06</v>
      </c>
      <c r="D34" s="291"/>
      <c r="E34" s="262">
        <v>103740</v>
      </c>
      <c r="F34" s="263"/>
    </row>
    <row r="35" spans="1:6" x14ac:dyDescent="0.3">
      <c r="A35" s="11"/>
      <c r="B35" s="14"/>
      <c r="C35" s="9">
        <f>SUM(C32:C34)</f>
        <v>1</v>
      </c>
      <c r="D35" s="15"/>
      <c r="E35" s="281">
        <f>SUM(E32:F34)</f>
        <v>1729000</v>
      </c>
      <c r="F35" s="282"/>
    </row>
    <row r="36" spans="1:6" x14ac:dyDescent="0.3">
      <c r="A36" s="285">
        <v>6</v>
      </c>
      <c r="B36" s="258" t="s">
        <v>34</v>
      </c>
      <c r="C36" s="258"/>
      <c r="D36" s="258"/>
      <c r="E36" s="258"/>
      <c r="F36" s="259"/>
    </row>
    <row r="37" spans="1:6" x14ac:dyDescent="0.3">
      <c r="A37" s="286"/>
      <c r="B37" s="7" t="s">
        <v>35</v>
      </c>
      <c r="C37" s="8">
        <v>0.2</v>
      </c>
      <c r="D37" s="290">
        <v>0.18</v>
      </c>
      <c r="E37" s="283">
        <v>478800</v>
      </c>
      <c r="F37" s="284"/>
    </row>
    <row r="38" spans="1:6" x14ac:dyDescent="0.3">
      <c r="A38" s="286"/>
      <c r="B38" s="7" t="s">
        <v>36</v>
      </c>
      <c r="C38" s="8">
        <v>0.25</v>
      </c>
      <c r="D38" s="291"/>
      <c r="E38" s="262">
        <v>598500</v>
      </c>
      <c r="F38" s="263"/>
    </row>
    <row r="39" spans="1:6" x14ac:dyDescent="0.3">
      <c r="A39" s="286"/>
      <c r="B39" s="7" t="s">
        <v>37</v>
      </c>
      <c r="C39" s="8">
        <v>0.35</v>
      </c>
      <c r="D39" s="291"/>
      <c r="E39" s="283">
        <v>837900</v>
      </c>
      <c r="F39" s="284"/>
    </row>
    <row r="40" spans="1:6" x14ac:dyDescent="0.3">
      <c r="A40" s="287"/>
      <c r="B40" s="7" t="s">
        <v>38</v>
      </c>
      <c r="C40" s="8">
        <v>0.2</v>
      </c>
      <c r="D40" s="292"/>
      <c r="E40" s="283">
        <v>478800</v>
      </c>
      <c r="F40" s="284"/>
    </row>
    <row r="41" spans="1:6" x14ac:dyDescent="0.3">
      <c r="A41" s="293"/>
      <c r="B41" s="294"/>
      <c r="C41" s="9">
        <f>SUM(C37:C40)</f>
        <v>1</v>
      </c>
      <c r="D41" s="12"/>
      <c r="E41" s="281">
        <f>SUM(E37:F40)</f>
        <v>2394000</v>
      </c>
      <c r="F41" s="282"/>
    </row>
    <row r="42" spans="1:6" x14ac:dyDescent="0.3">
      <c r="A42" s="285">
        <v>7</v>
      </c>
      <c r="B42" s="295" t="s">
        <v>39</v>
      </c>
      <c r="C42" s="296"/>
      <c r="D42" s="296"/>
      <c r="E42" s="296"/>
      <c r="F42" s="297"/>
    </row>
    <row r="43" spans="1:6" x14ac:dyDescent="0.3">
      <c r="A43" s="286"/>
      <c r="B43" s="7" t="s">
        <v>40</v>
      </c>
      <c r="C43" s="8">
        <v>0.06</v>
      </c>
      <c r="D43" s="290">
        <v>0.12</v>
      </c>
      <c r="E43" s="262">
        <v>95760</v>
      </c>
      <c r="F43" s="263"/>
    </row>
    <row r="44" spans="1:6" x14ac:dyDescent="0.3">
      <c r="A44" s="286"/>
      <c r="B44" s="7" t="s">
        <v>41</v>
      </c>
      <c r="C44" s="8">
        <v>0.27</v>
      </c>
      <c r="D44" s="291"/>
      <c r="E44" s="262">
        <v>430920</v>
      </c>
      <c r="F44" s="263"/>
    </row>
    <row r="45" spans="1:6" x14ac:dyDescent="0.3">
      <c r="A45" s="286"/>
      <c r="B45" s="7" t="s">
        <v>42</v>
      </c>
      <c r="C45" s="8">
        <v>0.67</v>
      </c>
      <c r="D45" s="292"/>
      <c r="E45" s="283">
        <v>494320</v>
      </c>
      <c r="F45" s="284"/>
    </row>
    <row r="46" spans="1:6" x14ac:dyDescent="0.3">
      <c r="A46" s="287"/>
      <c r="B46" s="16"/>
      <c r="C46" s="17">
        <f>C43+C44+C45</f>
        <v>1</v>
      </c>
      <c r="D46" s="18"/>
      <c r="E46" s="298">
        <f>SUM(E43:F45)</f>
        <v>1021000</v>
      </c>
      <c r="F46" s="299"/>
    </row>
    <row r="47" spans="1:6" x14ac:dyDescent="0.3">
      <c r="A47" s="19"/>
      <c r="E47" s="302"/>
      <c r="F47" s="303"/>
    </row>
    <row r="48" spans="1:6" ht="18.600000000000001" thickBot="1" x14ac:dyDescent="0.4">
      <c r="A48" s="20"/>
      <c r="B48" s="21" t="s">
        <v>10</v>
      </c>
      <c r="C48" s="21"/>
      <c r="D48" s="22">
        <f>SUM(D8+D14+D22+D26+D32+D37+D43)</f>
        <v>1</v>
      </c>
      <c r="E48" s="304">
        <f>C4</f>
        <v>13125000</v>
      </c>
      <c r="F48" s="305"/>
    </row>
    <row r="49" spans="1:6" ht="21" x14ac:dyDescent="0.4">
      <c r="A49" s="306"/>
      <c r="B49" s="307"/>
      <c r="C49" s="307"/>
      <c r="D49" s="307"/>
      <c r="E49" s="307"/>
      <c r="F49" s="308"/>
    </row>
    <row r="50" spans="1:6" ht="21" x14ac:dyDescent="0.4">
      <c r="A50" s="309" t="s">
        <v>0</v>
      </c>
      <c r="B50" s="310"/>
      <c r="C50" s="311"/>
      <c r="D50" s="311"/>
      <c r="E50" s="311"/>
      <c r="F50" s="312"/>
    </row>
    <row r="51" spans="1:6" ht="21" x14ac:dyDescent="0.4">
      <c r="A51" s="309" t="s">
        <v>1</v>
      </c>
      <c r="B51" s="310"/>
      <c r="C51" s="310"/>
      <c r="D51" s="310"/>
      <c r="E51" s="310"/>
      <c r="F51" s="313"/>
    </row>
    <row r="52" spans="1:6" ht="15.6" x14ac:dyDescent="0.3">
      <c r="A52" s="1" t="s">
        <v>2</v>
      </c>
      <c r="B52" s="2" t="s">
        <v>3</v>
      </c>
      <c r="C52" s="271"/>
      <c r="D52" s="271"/>
      <c r="E52" s="4"/>
      <c r="F52" s="5"/>
    </row>
    <row r="53" spans="1:6" ht="15.6" x14ac:dyDescent="0.3">
      <c r="A53" s="1" t="s">
        <v>2</v>
      </c>
      <c r="B53" s="2" t="s">
        <v>4</v>
      </c>
      <c r="C53" s="300">
        <f>E61+E67</f>
        <v>2375000</v>
      </c>
      <c r="D53" s="300"/>
      <c r="E53" s="4"/>
      <c r="F53" s="5"/>
    </row>
    <row r="54" spans="1:6" x14ac:dyDescent="0.3">
      <c r="A54" s="1"/>
      <c r="B54" s="3"/>
      <c r="C54" s="4"/>
      <c r="D54" s="4"/>
      <c r="E54" s="4"/>
      <c r="F54" s="5"/>
    </row>
    <row r="55" spans="1:6" x14ac:dyDescent="0.3">
      <c r="A55" s="274" t="s">
        <v>5</v>
      </c>
      <c r="B55" s="261" t="s">
        <v>6</v>
      </c>
      <c r="C55" s="301" t="s">
        <v>7</v>
      </c>
      <c r="D55" s="301"/>
      <c r="E55" s="261" t="s">
        <v>8</v>
      </c>
      <c r="F55" s="278"/>
    </row>
    <row r="56" spans="1:6" x14ac:dyDescent="0.3">
      <c r="A56" s="274"/>
      <c r="B56" s="261"/>
      <c r="C56" s="6" t="s">
        <v>9</v>
      </c>
      <c r="D56" s="6" t="s">
        <v>10</v>
      </c>
      <c r="E56" s="261"/>
      <c r="F56" s="278"/>
    </row>
    <row r="57" spans="1:6" x14ac:dyDescent="0.3">
      <c r="A57" s="23">
        <v>1</v>
      </c>
      <c r="B57" s="258" t="s">
        <v>43</v>
      </c>
      <c r="C57" s="258"/>
      <c r="D57" s="258"/>
      <c r="E57" s="258"/>
      <c r="F57" s="259"/>
    </row>
    <row r="58" spans="1:6" x14ac:dyDescent="0.3">
      <c r="A58" s="293"/>
      <c r="B58" s="7" t="s">
        <v>44</v>
      </c>
      <c r="C58" s="8">
        <v>0.3</v>
      </c>
      <c r="D58" s="260">
        <v>0.5</v>
      </c>
      <c r="E58" s="262">
        <v>356250</v>
      </c>
      <c r="F58" s="263"/>
    </row>
    <row r="59" spans="1:6" x14ac:dyDescent="0.3">
      <c r="A59" s="293"/>
      <c r="B59" s="7" t="s">
        <v>45</v>
      </c>
      <c r="C59" s="8">
        <v>0.2</v>
      </c>
      <c r="D59" s="261"/>
      <c r="E59" s="262">
        <v>237500</v>
      </c>
      <c r="F59" s="263"/>
    </row>
    <row r="60" spans="1:6" x14ac:dyDescent="0.3">
      <c r="A60" s="293"/>
      <c r="B60" s="7" t="s">
        <v>46</v>
      </c>
      <c r="C60" s="8">
        <v>0.5</v>
      </c>
      <c r="D60" s="261"/>
      <c r="E60" s="262">
        <v>593750</v>
      </c>
      <c r="F60" s="263"/>
    </row>
    <row r="61" spans="1:6" ht="15.6" x14ac:dyDescent="0.3">
      <c r="A61" s="279"/>
      <c r="B61" s="280"/>
      <c r="C61" s="24">
        <f>SUM(C58:C60)</f>
        <v>1</v>
      </c>
      <c r="D61" s="25"/>
      <c r="E61" s="316">
        <f>SUM(E58:F60)</f>
        <v>1187500</v>
      </c>
      <c r="F61" s="317"/>
    </row>
    <row r="62" spans="1:6" x14ac:dyDescent="0.3">
      <c r="A62" s="23">
        <v>2</v>
      </c>
      <c r="B62" s="258" t="s">
        <v>47</v>
      </c>
      <c r="C62" s="258"/>
      <c r="D62" s="258"/>
      <c r="E62" s="258"/>
      <c r="F62" s="259"/>
    </row>
    <row r="63" spans="1:6" x14ac:dyDescent="0.3">
      <c r="A63" s="314"/>
      <c r="B63" s="7" t="s">
        <v>48</v>
      </c>
      <c r="C63" s="8">
        <v>0.3</v>
      </c>
      <c r="D63" s="260">
        <v>0.5</v>
      </c>
      <c r="E63" s="262">
        <v>356250</v>
      </c>
      <c r="F63" s="263"/>
    </row>
    <row r="64" spans="1:6" x14ac:dyDescent="0.3">
      <c r="A64" s="315"/>
      <c r="B64" s="7" t="s">
        <v>49</v>
      </c>
      <c r="C64" s="8">
        <v>0.3</v>
      </c>
      <c r="D64" s="261"/>
      <c r="E64" s="262">
        <v>356250</v>
      </c>
      <c r="F64" s="263"/>
    </row>
    <row r="65" spans="1:6" x14ac:dyDescent="0.3">
      <c r="A65" s="315"/>
      <c r="B65" s="7" t="s">
        <v>50</v>
      </c>
      <c r="C65" s="8">
        <v>0.2</v>
      </c>
      <c r="D65" s="261"/>
      <c r="E65" s="262">
        <v>237500</v>
      </c>
      <c r="F65" s="263"/>
    </row>
    <row r="66" spans="1:6" x14ac:dyDescent="0.3">
      <c r="A66" s="315"/>
      <c r="B66" s="7" t="s">
        <v>51</v>
      </c>
      <c r="C66" s="8">
        <v>0.2</v>
      </c>
      <c r="D66" s="261"/>
      <c r="E66" s="283">
        <v>237500</v>
      </c>
      <c r="F66" s="284"/>
    </row>
    <row r="67" spans="1:6" ht="15.6" x14ac:dyDescent="0.3">
      <c r="A67" s="288"/>
      <c r="B67" s="289"/>
      <c r="C67" s="24">
        <f>SUM(C63:C66)</f>
        <v>1</v>
      </c>
      <c r="D67" s="26"/>
      <c r="E67" s="316">
        <f>SUM(E63:F66)</f>
        <v>1187500</v>
      </c>
      <c r="F67" s="317"/>
    </row>
    <row r="68" spans="1:6" ht="18.600000000000001" thickBot="1" x14ac:dyDescent="0.4">
      <c r="A68" s="27"/>
      <c r="B68" s="21" t="s">
        <v>10</v>
      </c>
      <c r="C68" s="21"/>
      <c r="D68" s="22">
        <f>D63+D58</f>
        <v>1</v>
      </c>
      <c r="E68" s="304">
        <f>C53</f>
        <v>2375000</v>
      </c>
      <c r="F68" s="305"/>
    </row>
    <row r="69" spans="1:6" ht="15" thickBot="1" x14ac:dyDescent="0.35"/>
    <row r="70" spans="1:6" ht="21" x14ac:dyDescent="0.4">
      <c r="A70" s="306"/>
      <c r="B70" s="307"/>
      <c r="C70" s="307"/>
      <c r="D70" s="307"/>
      <c r="E70" s="307"/>
      <c r="F70" s="308"/>
    </row>
    <row r="71" spans="1:6" ht="21" x14ac:dyDescent="0.4">
      <c r="A71" s="309" t="s">
        <v>0</v>
      </c>
      <c r="B71" s="310"/>
      <c r="C71" s="311"/>
      <c r="D71" s="311"/>
      <c r="E71" s="311"/>
      <c r="F71" s="312"/>
    </row>
    <row r="72" spans="1:6" ht="21" x14ac:dyDescent="0.4">
      <c r="A72" s="309" t="s">
        <v>1</v>
      </c>
      <c r="B72" s="310"/>
      <c r="C72" s="310"/>
      <c r="D72" s="310"/>
      <c r="E72" s="310"/>
      <c r="F72" s="313"/>
    </row>
    <row r="73" spans="1:6" ht="15.6" x14ac:dyDescent="0.3">
      <c r="A73" s="1" t="s">
        <v>2</v>
      </c>
      <c r="B73" s="2" t="s">
        <v>3</v>
      </c>
      <c r="C73" s="271"/>
      <c r="D73" s="271"/>
      <c r="E73" s="4"/>
      <c r="F73" s="5"/>
    </row>
    <row r="74" spans="1:6" ht="15.6" x14ac:dyDescent="0.3">
      <c r="A74" s="1" t="s">
        <v>2</v>
      </c>
      <c r="B74" s="2" t="s">
        <v>4</v>
      </c>
      <c r="C74" s="300">
        <v>500000</v>
      </c>
      <c r="D74" s="300"/>
      <c r="E74" s="4"/>
      <c r="F74" s="5"/>
    </row>
    <row r="75" spans="1:6" x14ac:dyDescent="0.3">
      <c r="A75" s="1"/>
      <c r="B75" s="3"/>
      <c r="C75" s="4"/>
      <c r="D75" s="4"/>
      <c r="E75" s="4"/>
      <c r="F75" s="5"/>
    </row>
    <row r="76" spans="1:6" x14ac:dyDescent="0.3">
      <c r="A76" s="274" t="s">
        <v>5</v>
      </c>
      <c r="B76" s="261" t="s">
        <v>6</v>
      </c>
      <c r="C76" s="301" t="s">
        <v>7</v>
      </c>
      <c r="D76" s="301"/>
      <c r="E76" s="261" t="s">
        <v>8</v>
      </c>
      <c r="F76" s="278"/>
    </row>
    <row r="77" spans="1:6" x14ac:dyDescent="0.3">
      <c r="A77" s="274"/>
      <c r="B77" s="261"/>
      <c r="C77" s="6" t="s">
        <v>9</v>
      </c>
      <c r="D77" s="6" t="s">
        <v>10</v>
      </c>
      <c r="E77" s="261"/>
      <c r="F77" s="278"/>
    </row>
    <row r="78" spans="1:6" x14ac:dyDescent="0.3">
      <c r="A78" s="23">
        <v>1</v>
      </c>
      <c r="B78" s="322" t="s">
        <v>52</v>
      </c>
      <c r="C78" s="323"/>
      <c r="D78" s="323"/>
      <c r="E78" s="323"/>
      <c r="F78" s="324"/>
    </row>
    <row r="79" spans="1:6" x14ac:dyDescent="0.3">
      <c r="A79" s="293"/>
      <c r="B79" s="7" t="s">
        <v>53</v>
      </c>
      <c r="C79" s="8">
        <v>0.7</v>
      </c>
      <c r="D79" s="290">
        <v>1</v>
      </c>
      <c r="E79" s="262">
        <f>E81*C79</f>
        <v>350000</v>
      </c>
      <c r="F79" s="263"/>
    </row>
    <row r="80" spans="1:6" x14ac:dyDescent="0.3">
      <c r="A80" s="293"/>
      <c r="B80" s="7" t="s">
        <v>54</v>
      </c>
      <c r="C80" s="8">
        <v>0.3</v>
      </c>
      <c r="D80" s="291"/>
      <c r="E80" s="262">
        <f>E81*C80</f>
        <v>150000</v>
      </c>
      <c r="F80" s="263"/>
    </row>
    <row r="81" spans="1:6" ht="15.6" x14ac:dyDescent="0.3">
      <c r="A81" s="279"/>
      <c r="B81" s="280"/>
      <c r="C81" s="24">
        <f>SUM(C79:C80)</f>
        <v>1</v>
      </c>
      <c r="D81" s="292"/>
      <c r="E81" s="316">
        <f>E82*D79</f>
        <v>500000</v>
      </c>
      <c r="F81" s="317"/>
    </row>
    <row r="82" spans="1:6" ht="18.600000000000001" thickBot="1" x14ac:dyDescent="0.4">
      <c r="A82" s="27"/>
      <c r="B82" s="21" t="s">
        <v>10</v>
      </c>
      <c r="C82" s="21"/>
      <c r="D82" s="22">
        <f>D79</f>
        <v>1</v>
      </c>
      <c r="E82" s="304">
        <f>C74</f>
        <v>500000</v>
      </c>
      <c r="F82" s="305"/>
    </row>
    <row r="83" spans="1:6" ht="18" x14ac:dyDescent="0.35">
      <c r="A83" s="28"/>
      <c r="B83" s="29"/>
      <c r="C83" s="29"/>
      <c r="D83" s="30"/>
      <c r="E83" s="31"/>
      <c r="F83" s="31"/>
    </row>
    <row r="84" spans="1:6" x14ac:dyDescent="0.3">
      <c r="B84" s="32" t="s">
        <v>55</v>
      </c>
      <c r="C84" s="318" t="s">
        <v>56</v>
      </c>
      <c r="D84" s="318"/>
      <c r="E84" s="318"/>
      <c r="F84" s="318"/>
    </row>
    <row r="85" spans="1:6" x14ac:dyDescent="0.3">
      <c r="B85" s="319"/>
      <c r="C85" s="320" t="s">
        <v>57</v>
      </c>
      <c r="D85" s="320"/>
      <c r="E85" s="320"/>
      <c r="F85" s="320"/>
    </row>
    <row r="86" spans="1:6" x14ac:dyDescent="0.3">
      <c r="B86" s="319"/>
      <c r="C86" s="320"/>
      <c r="D86" s="320"/>
      <c r="E86" s="320"/>
      <c r="F86" s="320"/>
    </row>
    <row r="87" spans="1:6" x14ac:dyDescent="0.3">
      <c r="B87" s="319"/>
      <c r="C87" s="321"/>
      <c r="D87" s="321"/>
      <c r="E87" s="321"/>
      <c r="F87" s="321"/>
    </row>
    <row r="89" spans="1:6" x14ac:dyDescent="0.3">
      <c r="A89" s="33"/>
      <c r="B89" s="33"/>
      <c r="C89" s="33"/>
      <c r="D89" s="33" t="s">
        <v>10</v>
      </c>
      <c r="E89" s="34">
        <f>SUM(E48+E68+E82)</f>
        <v>16000000</v>
      </c>
      <c r="F89" s="33"/>
    </row>
  </sheetData>
  <mergeCells count="115">
    <mergeCell ref="E82:F82"/>
    <mergeCell ref="C84:F84"/>
    <mergeCell ref="B85:B87"/>
    <mergeCell ref="C85:F87"/>
    <mergeCell ref="B78:F78"/>
    <mergeCell ref="A79:A80"/>
    <mergeCell ref="D79:D81"/>
    <mergeCell ref="E79:F79"/>
    <mergeCell ref="E80:F80"/>
    <mergeCell ref="A81:B81"/>
    <mergeCell ref="E81:F81"/>
    <mergeCell ref="C73:D73"/>
    <mergeCell ref="C74:D74"/>
    <mergeCell ref="A76:A77"/>
    <mergeCell ref="B76:B77"/>
    <mergeCell ref="C76:D76"/>
    <mergeCell ref="E76:F77"/>
    <mergeCell ref="A67:B67"/>
    <mergeCell ref="E67:F67"/>
    <mergeCell ref="E68:F68"/>
    <mergeCell ref="A70:F70"/>
    <mergeCell ref="A71:F71"/>
    <mergeCell ref="A72:F72"/>
    <mergeCell ref="B62:F62"/>
    <mergeCell ref="A63:A66"/>
    <mergeCell ref="D63:D66"/>
    <mergeCell ref="E63:F63"/>
    <mergeCell ref="E64:F64"/>
    <mergeCell ref="E65:F65"/>
    <mergeCell ref="E66:F66"/>
    <mergeCell ref="A58:A60"/>
    <mergeCell ref="D58:D60"/>
    <mergeCell ref="E58:F58"/>
    <mergeCell ref="E59:F59"/>
    <mergeCell ref="E60:F60"/>
    <mergeCell ref="A61:B61"/>
    <mergeCell ref="E61:F61"/>
    <mergeCell ref="C53:D53"/>
    <mergeCell ref="A55:A56"/>
    <mergeCell ref="B55:B56"/>
    <mergeCell ref="C55:D55"/>
    <mergeCell ref="E55:F56"/>
    <mergeCell ref="B57:F57"/>
    <mergeCell ref="E47:F47"/>
    <mergeCell ref="E48:F48"/>
    <mergeCell ref="A49:F49"/>
    <mergeCell ref="A50:F50"/>
    <mergeCell ref="A51:F51"/>
    <mergeCell ref="C52:D52"/>
    <mergeCell ref="A41:B41"/>
    <mergeCell ref="E41:F41"/>
    <mergeCell ref="A42:A46"/>
    <mergeCell ref="B42:F42"/>
    <mergeCell ref="D43:D45"/>
    <mergeCell ref="E43:F43"/>
    <mergeCell ref="E44:F44"/>
    <mergeCell ref="E45:F45"/>
    <mergeCell ref="E46:F46"/>
    <mergeCell ref="E35:F35"/>
    <mergeCell ref="A36:A40"/>
    <mergeCell ref="B36:F36"/>
    <mergeCell ref="D37:D40"/>
    <mergeCell ref="E37:F37"/>
    <mergeCell ref="E38:F38"/>
    <mergeCell ref="E39:F39"/>
    <mergeCell ref="E40:F40"/>
    <mergeCell ref="A30:B30"/>
    <mergeCell ref="E30:F30"/>
    <mergeCell ref="A31:A34"/>
    <mergeCell ref="B31:F31"/>
    <mergeCell ref="D32:D34"/>
    <mergeCell ref="E32:F32"/>
    <mergeCell ref="E33:F33"/>
    <mergeCell ref="E34:F34"/>
    <mergeCell ref="E24:F24"/>
    <mergeCell ref="A25:A29"/>
    <mergeCell ref="B25:F25"/>
    <mergeCell ref="D26:D29"/>
    <mergeCell ref="E26:F26"/>
    <mergeCell ref="E27:F27"/>
    <mergeCell ref="E28:F28"/>
    <mergeCell ref="E29:F29"/>
    <mergeCell ref="E19:F19"/>
    <mergeCell ref="A20:B20"/>
    <mergeCell ref="E20:F20"/>
    <mergeCell ref="A21:A23"/>
    <mergeCell ref="B21:F21"/>
    <mergeCell ref="D22:D23"/>
    <mergeCell ref="E22:F22"/>
    <mergeCell ref="E23:F23"/>
    <mergeCell ref="A12:B12"/>
    <mergeCell ref="E12:F12"/>
    <mergeCell ref="A13:A19"/>
    <mergeCell ref="B13:F13"/>
    <mergeCell ref="D14:D19"/>
    <mergeCell ref="E14:F14"/>
    <mergeCell ref="E15:F15"/>
    <mergeCell ref="E16:F16"/>
    <mergeCell ref="E17:F17"/>
    <mergeCell ref="E18:F18"/>
    <mergeCell ref="A7:A11"/>
    <mergeCell ref="B7:F7"/>
    <mergeCell ref="D8:D11"/>
    <mergeCell ref="E8:F8"/>
    <mergeCell ref="E9:F9"/>
    <mergeCell ref="E10:F10"/>
    <mergeCell ref="E11:F11"/>
    <mergeCell ref="A1:F1"/>
    <mergeCell ref="A2:F2"/>
    <mergeCell ref="C3:D3"/>
    <mergeCell ref="C4:D4"/>
    <mergeCell ref="A5:A6"/>
    <mergeCell ref="B5:B6"/>
    <mergeCell ref="C5:D5"/>
    <mergeCell ref="E5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7167-2CB9-4814-9606-BD48922D29D5}">
  <dimension ref="A1:G64"/>
  <sheetViews>
    <sheetView zoomScaleNormal="100" workbookViewId="0">
      <selection activeCell="E1" sqref="E1"/>
    </sheetView>
  </sheetViews>
  <sheetFormatPr defaultRowHeight="14.4" x14ac:dyDescent="0.3"/>
  <cols>
    <col min="2" max="2" width="37.77734375" bestFit="1" customWidth="1"/>
    <col min="3" max="3" width="5.77734375" customWidth="1"/>
    <col min="4" max="4" width="9.5546875" bestFit="1" customWidth="1"/>
    <col min="5" max="5" width="20.5546875" customWidth="1"/>
    <col min="7" max="7" width="25.109375" customWidth="1"/>
  </cols>
  <sheetData>
    <row r="1" spans="1:7" x14ac:dyDescent="0.3">
      <c r="A1" s="87"/>
      <c r="B1" s="87"/>
      <c r="C1" s="87"/>
      <c r="D1" s="87"/>
      <c r="E1" s="87"/>
      <c r="F1" s="87"/>
      <c r="G1" s="87"/>
    </row>
    <row r="2" spans="1:7" x14ac:dyDescent="0.3">
      <c r="A2" s="87"/>
      <c r="B2" s="87"/>
      <c r="C2" s="87"/>
      <c r="D2" s="87"/>
      <c r="E2" s="87"/>
      <c r="F2" s="87"/>
      <c r="G2" s="87"/>
    </row>
    <row r="3" spans="1:7" x14ac:dyDescent="0.3">
      <c r="A3" s="87"/>
      <c r="B3" s="87"/>
      <c r="C3" s="87"/>
      <c r="D3" s="87"/>
      <c r="E3" s="87"/>
      <c r="F3" s="87"/>
      <c r="G3" s="87"/>
    </row>
    <row r="4" spans="1:7" ht="15" thickBot="1" x14ac:dyDescent="0.35">
      <c r="A4" s="87"/>
      <c r="B4" s="87"/>
      <c r="C4" s="87"/>
      <c r="D4" s="87"/>
      <c r="E4" s="87"/>
      <c r="F4" s="87"/>
      <c r="G4" s="87"/>
    </row>
    <row r="5" spans="1:7" x14ac:dyDescent="0.3">
      <c r="A5" s="326" t="s">
        <v>125</v>
      </c>
      <c r="B5" s="327"/>
      <c r="C5" s="327"/>
      <c r="D5" s="327"/>
      <c r="E5" s="327"/>
      <c r="F5" s="327"/>
      <c r="G5" s="328"/>
    </row>
    <row r="6" spans="1:7" ht="15" thickBot="1" x14ac:dyDescent="0.35">
      <c r="A6" s="329" t="s">
        <v>184</v>
      </c>
      <c r="B6" s="330"/>
      <c r="C6" s="330"/>
      <c r="D6" s="330"/>
      <c r="E6" s="330"/>
      <c r="F6" s="330"/>
      <c r="G6" s="331"/>
    </row>
    <row r="7" spans="1:7" x14ac:dyDescent="0.3">
      <c r="A7" s="332" t="s">
        <v>126</v>
      </c>
      <c r="B7" s="332"/>
      <c r="C7" s="87" t="s">
        <v>127</v>
      </c>
      <c r="D7" s="87"/>
      <c r="E7" s="87"/>
      <c r="F7" s="87"/>
      <c r="G7" s="87"/>
    </row>
    <row r="8" spans="1:7" x14ac:dyDescent="0.3">
      <c r="A8" s="332" t="s">
        <v>128</v>
      </c>
      <c r="B8" s="332"/>
      <c r="C8" s="87" t="s">
        <v>129</v>
      </c>
      <c r="D8" s="87"/>
      <c r="E8" s="87"/>
      <c r="F8" s="87"/>
      <c r="G8" s="87"/>
    </row>
    <row r="9" spans="1:7" x14ac:dyDescent="0.3">
      <c r="A9" s="332" t="s">
        <v>130</v>
      </c>
      <c r="B9" s="332"/>
      <c r="C9" s="87" t="s">
        <v>131</v>
      </c>
      <c r="D9" s="87"/>
      <c r="E9" s="87"/>
      <c r="F9" s="87"/>
      <c r="G9" s="87"/>
    </row>
    <row r="10" spans="1:7" x14ac:dyDescent="0.3">
      <c r="A10" s="332" t="s">
        <v>132</v>
      </c>
      <c r="B10" s="332"/>
      <c r="C10" s="87" t="s">
        <v>133</v>
      </c>
      <c r="D10" s="87"/>
      <c r="E10" s="87"/>
      <c r="F10" s="87"/>
      <c r="G10" s="87"/>
    </row>
    <row r="11" spans="1:7" x14ac:dyDescent="0.3">
      <c r="A11" s="325" t="s">
        <v>5</v>
      </c>
      <c r="B11" s="325" t="s">
        <v>134</v>
      </c>
      <c r="C11" s="333" t="s">
        <v>135</v>
      </c>
      <c r="D11" s="325" t="s">
        <v>136</v>
      </c>
      <c r="E11" s="325" t="s">
        <v>137</v>
      </c>
      <c r="F11" s="325" t="s">
        <v>138</v>
      </c>
      <c r="G11" s="325"/>
    </row>
    <row r="12" spans="1:7" x14ac:dyDescent="0.3">
      <c r="A12" s="325"/>
      <c r="B12" s="325"/>
      <c r="C12" s="333"/>
      <c r="D12" s="325"/>
      <c r="E12" s="325"/>
      <c r="F12" s="325"/>
      <c r="G12" s="325"/>
    </row>
    <row r="13" spans="1:7" x14ac:dyDescent="0.3">
      <c r="A13" s="88">
        <v>1</v>
      </c>
      <c r="B13" s="88">
        <v>2</v>
      </c>
      <c r="C13" s="88">
        <v>3</v>
      </c>
      <c r="D13" s="88">
        <v>4</v>
      </c>
      <c r="E13" s="88">
        <v>5</v>
      </c>
      <c r="F13" s="335">
        <v>6</v>
      </c>
      <c r="G13" s="335"/>
    </row>
    <row r="14" spans="1:7" x14ac:dyDescent="0.3">
      <c r="A14" s="89" t="s">
        <v>139</v>
      </c>
      <c r="B14" s="336" t="s">
        <v>140</v>
      </c>
      <c r="C14" s="336"/>
      <c r="D14" s="336"/>
      <c r="E14" s="336"/>
      <c r="F14" s="336"/>
      <c r="G14" s="337"/>
    </row>
    <row r="15" spans="1:7" x14ac:dyDescent="0.3">
      <c r="A15" s="338"/>
      <c r="B15" s="339"/>
      <c r="C15" s="339"/>
      <c r="D15" s="339"/>
      <c r="E15" s="339"/>
      <c r="F15" s="339"/>
      <c r="G15" s="340"/>
    </row>
    <row r="16" spans="1:7" x14ac:dyDescent="0.3">
      <c r="A16" s="91">
        <v>1</v>
      </c>
      <c r="B16" s="92" t="s">
        <v>141</v>
      </c>
      <c r="C16" s="94" t="s">
        <v>142</v>
      </c>
      <c r="D16" s="95">
        <v>20053</v>
      </c>
      <c r="E16" s="96">
        <v>150000</v>
      </c>
      <c r="F16" s="341">
        <f>E16*D16</f>
        <v>3007950000</v>
      </c>
      <c r="G16" s="341"/>
    </row>
    <row r="17" spans="1:7" x14ac:dyDescent="0.3">
      <c r="A17" s="97">
        <v>2</v>
      </c>
      <c r="B17" s="92" t="s">
        <v>143</v>
      </c>
      <c r="C17" s="94" t="s">
        <v>142</v>
      </c>
      <c r="D17" s="95">
        <v>20053</v>
      </c>
      <c r="E17" s="96">
        <v>70000</v>
      </c>
      <c r="F17" s="334">
        <f>E17*D17</f>
        <v>1403710000</v>
      </c>
      <c r="G17" s="334"/>
    </row>
    <row r="18" spans="1:7" x14ac:dyDescent="0.3">
      <c r="A18" s="97">
        <v>3</v>
      </c>
      <c r="B18" s="92" t="s">
        <v>144</v>
      </c>
      <c r="C18" s="94" t="s">
        <v>145</v>
      </c>
      <c r="D18" s="95">
        <v>1</v>
      </c>
      <c r="E18" s="96">
        <v>25000000</v>
      </c>
      <c r="F18" s="334">
        <f t="shared" ref="F18:F24" si="0">E18*D18</f>
        <v>25000000</v>
      </c>
      <c r="G18" s="334"/>
    </row>
    <row r="19" spans="1:7" x14ac:dyDescent="0.3">
      <c r="A19" s="97">
        <v>4</v>
      </c>
      <c r="B19" s="92" t="s">
        <v>146</v>
      </c>
      <c r="C19" s="94" t="s">
        <v>147</v>
      </c>
      <c r="D19" s="95">
        <v>5</v>
      </c>
      <c r="E19" s="96">
        <v>2364992889</v>
      </c>
      <c r="F19" s="334">
        <f>E19*D19%</f>
        <v>118249644.45</v>
      </c>
      <c r="G19" s="334"/>
    </row>
    <row r="20" spans="1:7" x14ac:dyDescent="0.3">
      <c r="A20" s="97">
        <v>5</v>
      </c>
      <c r="B20" s="92" t="s">
        <v>148</v>
      </c>
      <c r="C20" s="94" t="s">
        <v>145</v>
      </c>
      <c r="D20" s="95">
        <v>1</v>
      </c>
      <c r="E20" s="96">
        <v>5000000</v>
      </c>
      <c r="F20" s="334">
        <f t="shared" si="0"/>
        <v>5000000</v>
      </c>
      <c r="G20" s="334"/>
    </row>
    <row r="21" spans="1:7" x14ac:dyDescent="0.3">
      <c r="A21" s="97">
        <v>6</v>
      </c>
      <c r="B21" s="92" t="s">
        <v>149</v>
      </c>
      <c r="C21" s="94" t="s">
        <v>147</v>
      </c>
      <c r="D21" s="95">
        <v>1</v>
      </c>
      <c r="E21" s="96">
        <v>2364992889</v>
      </c>
      <c r="F21" s="334">
        <f>E21*D21%</f>
        <v>23649928.890000001</v>
      </c>
      <c r="G21" s="334"/>
    </row>
    <row r="22" spans="1:7" x14ac:dyDescent="0.3">
      <c r="A22" s="97">
        <v>7</v>
      </c>
      <c r="B22" s="92" t="s">
        <v>150</v>
      </c>
      <c r="C22" s="94" t="s">
        <v>145</v>
      </c>
      <c r="D22" s="95">
        <v>1</v>
      </c>
      <c r="E22" s="96">
        <v>5000000</v>
      </c>
      <c r="F22" s="334">
        <f t="shared" si="0"/>
        <v>5000000</v>
      </c>
      <c r="G22" s="334"/>
    </row>
    <row r="23" spans="1:7" x14ac:dyDescent="0.3">
      <c r="A23" s="97">
        <v>8</v>
      </c>
      <c r="B23" s="92" t="s">
        <v>151</v>
      </c>
      <c r="C23" s="94" t="s">
        <v>145</v>
      </c>
      <c r="D23" s="95">
        <v>1</v>
      </c>
      <c r="E23" s="96">
        <v>10000000</v>
      </c>
      <c r="F23" s="334">
        <f t="shared" si="0"/>
        <v>10000000</v>
      </c>
      <c r="G23" s="334"/>
    </row>
    <row r="24" spans="1:7" x14ac:dyDescent="0.3">
      <c r="A24" s="97">
        <v>9</v>
      </c>
      <c r="B24" s="92" t="s">
        <v>152</v>
      </c>
      <c r="C24" s="94" t="s">
        <v>145</v>
      </c>
      <c r="D24" s="95">
        <v>1</v>
      </c>
      <c r="E24" s="96">
        <v>90005000</v>
      </c>
      <c r="F24" s="334">
        <f t="shared" si="0"/>
        <v>90005000</v>
      </c>
      <c r="G24" s="334"/>
    </row>
    <row r="25" spans="1:7" x14ac:dyDescent="0.3">
      <c r="A25" s="97"/>
      <c r="B25" s="90"/>
      <c r="C25" s="93"/>
      <c r="D25" s="93"/>
      <c r="E25" s="93"/>
      <c r="F25" s="342"/>
      <c r="G25" s="343"/>
    </row>
    <row r="26" spans="1:7" x14ac:dyDescent="0.3">
      <c r="A26" s="344" t="s">
        <v>153</v>
      </c>
      <c r="B26" s="345"/>
      <c r="C26" s="345"/>
      <c r="D26" s="345"/>
      <c r="E26" s="345"/>
      <c r="F26" s="334">
        <f>SUM(F16:F24)</f>
        <v>4688564573.3400002</v>
      </c>
      <c r="G26" s="334"/>
    </row>
    <row r="27" spans="1:7" x14ac:dyDescent="0.3">
      <c r="A27" s="89" t="s">
        <v>154</v>
      </c>
      <c r="B27" s="336" t="s">
        <v>155</v>
      </c>
      <c r="C27" s="332"/>
      <c r="D27" s="332"/>
      <c r="E27" s="332"/>
      <c r="F27" s="332"/>
      <c r="G27" s="346"/>
    </row>
    <row r="28" spans="1:7" x14ac:dyDescent="0.3">
      <c r="A28" s="347"/>
      <c r="B28" s="347"/>
      <c r="C28" s="347"/>
      <c r="D28" s="347"/>
      <c r="E28" s="347"/>
      <c r="F28" s="347"/>
      <c r="G28" s="347"/>
    </row>
    <row r="29" spans="1:7" x14ac:dyDescent="0.3">
      <c r="A29" s="91">
        <v>1</v>
      </c>
      <c r="B29" s="100" t="s">
        <v>156</v>
      </c>
      <c r="C29" s="94" t="s">
        <v>157</v>
      </c>
      <c r="D29" s="95">
        <v>150</v>
      </c>
      <c r="E29" s="96">
        <v>30000</v>
      </c>
      <c r="F29" s="334">
        <f>E29*D29</f>
        <v>4500000</v>
      </c>
      <c r="G29" s="334"/>
    </row>
    <row r="30" spans="1:7" x14ac:dyDescent="0.3">
      <c r="A30" s="97">
        <v>2</v>
      </c>
      <c r="B30" s="92" t="s">
        <v>158</v>
      </c>
      <c r="C30" s="94" t="s">
        <v>157</v>
      </c>
      <c r="D30" s="95">
        <v>150</v>
      </c>
      <c r="E30" s="96">
        <v>3000000</v>
      </c>
      <c r="F30" s="334">
        <f t="shared" ref="F30:F34" si="1">E30*D30</f>
        <v>450000000</v>
      </c>
      <c r="G30" s="334"/>
    </row>
    <row r="31" spans="1:7" x14ac:dyDescent="0.3">
      <c r="A31" s="97">
        <v>3</v>
      </c>
      <c r="B31" s="92" t="s">
        <v>159</v>
      </c>
      <c r="C31" s="94" t="s">
        <v>157</v>
      </c>
      <c r="D31" s="95">
        <v>150</v>
      </c>
      <c r="E31" s="96">
        <v>3500000</v>
      </c>
      <c r="F31" s="334">
        <f t="shared" si="1"/>
        <v>525000000</v>
      </c>
      <c r="G31" s="334"/>
    </row>
    <row r="32" spans="1:7" x14ac:dyDescent="0.3">
      <c r="A32" s="97">
        <v>4</v>
      </c>
      <c r="B32" s="100" t="s">
        <v>160</v>
      </c>
      <c r="C32" s="94" t="s">
        <v>157</v>
      </c>
      <c r="D32" s="95">
        <v>150</v>
      </c>
      <c r="E32" s="96">
        <v>500000</v>
      </c>
      <c r="F32" s="334">
        <f t="shared" si="1"/>
        <v>75000000</v>
      </c>
      <c r="G32" s="334"/>
    </row>
    <row r="33" spans="1:7" x14ac:dyDescent="0.3">
      <c r="A33" s="97">
        <v>5</v>
      </c>
      <c r="B33" s="92" t="s">
        <v>161</v>
      </c>
      <c r="C33" s="94" t="s">
        <v>157</v>
      </c>
      <c r="D33" s="95">
        <v>150</v>
      </c>
      <c r="E33" s="96">
        <v>3000000</v>
      </c>
      <c r="F33" s="334">
        <f t="shared" si="1"/>
        <v>450000000</v>
      </c>
      <c r="G33" s="334"/>
    </row>
    <row r="34" spans="1:7" x14ac:dyDescent="0.3">
      <c r="A34" s="97">
        <v>6</v>
      </c>
      <c r="B34" s="92" t="s">
        <v>162</v>
      </c>
      <c r="C34" s="94" t="s">
        <v>157</v>
      </c>
      <c r="D34" s="95">
        <v>150</v>
      </c>
      <c r="E34" s="96">
        <v>1000000</v>
      </c>
      <c r="F34" s="334">
        <f t="shared" si="1"/>
        <v>150000000</v>
      </c>
      <c r="G34" s="334"/>
    </row>
    <row r="35" spans="1:7" x14ac:dyDescent="0.3">
      <c r="A35" s="93"/>
      <c r="B35" s="101"/>
      <c r="C35" s="93"/>
      <c r="D35" s="93"/>
      <c r="E35" s="93"/>
      <c r="F35" s="342"/>
      <c r="G35" s="343"/>
    </row>
    <row r="36" spans="1:7" x14ac:dyDescent="0.3">
      <c r="A36" s="344" t="s">
        <v>163</v>
      </c>
      <c r="B36" s="345"/>
      <c r="C36" s="345"/>
      <c r="D36" s="345"/>
      <c r="E36" s="345"/>
      <c r="F36" s="334">
        <f>SUM(F29:F34)</f>
        <v>1654500000</v>
      </c>
      <c r="G36" s="334"/>
    </row>
    <row r="37" spans="1:7" x14ac:dyDescent="0.3">
      <c r="A37" s="89" t="s">
        <v>164</v>
      </c>
      <c r="B37" s="348" t="s">
        <v>165</v>
      </c>
      <c r="C37" s="349"/>
      <c r="D37" s="349"/>
      <c r="E37" s="349"/>
      <c r="F37" s="349"/>
      <c r="G37" s="350"/>
    </row>
    <row r="38" spans="1:7" x14ac:dyDescent="0.3">
      <c r="A38" s="338"/>
      <c r="B38" s="339"/>
      <c r="C38" s="339"/>
      <c r="D38" s="339"/>
      <c r="E38" s="339"/>
      <c r="F38" s="339"/>
      <c r="G38" s="340"/>
    </row>
    <row r="39" spans="1:7" x14ac:dyDescent="0.3">
      <c r="A39" s="97">
        <v>1</v>
      </c>
      <c r="B39" s="92" t="s">
        <v>185</v>
      </c>
      <c r="C39" s="94" t="s">
        <v>142</v>
      </c>
      <c r="D39" s="95">
        <v>7334</v>
      </c>
      <c r="E39" s="96">
        <v>170000</v>
      </c>
      <c r="F39" s="334">
        <f t="shared" ref="F39:F47" si="2">E39*D39</f>
        <v>1246780000</v>
      </c>
      <c r="G39" s="334"/>
    </row>
    <row r="40" spans="1:7" x14ac:dyDescent="0.3">
      <c r="A40" s="97">
        <v>2</v>
      </c>
      <c r="B40" s="92" t="s">
        <v>167</v>
      </c>
      <c r="C40" s="94" t="s">
        <v>166</v>
      </c>
      <c r="D40" s="95">
        <v>2053</v>
      </c>
      <c r="E40" s="96">
        <v>80000</v>
      </c>
      <c r="F40" s="334">
        <f t="shared" si="2"/>
        <v>164240000</v>
      </c>
      <c r="G40" s="334"/>
    </row>
    <row r="41" spans="1:7" x14ac:dyDescent="0.3">
      <c r="A41" s="97">
        <v>3</v>
      </c>
      <c r="B41" s="92" t="s">
        <v>168</v>
      </c>
      <c r="C41" s="94" t="s">
        <v>145</v>
      </c>
      <c r="D41" s="95">
        <v>1</v>
      </c>
      <c r="E41" s="96">
        <v>10000000</v>
      </c>
      <c r="F41" s="334">
        <f t="shared" si="2"/>
        <v>10000000</v>
      </c>
      <c r="G41" s="334"/>
    </row>
    <row r="42" spans="1:7" x14ac:dyDescent="0.3">
      <c r="A42" s="97">
        <v>4</v>
      </c>
      <c r="B42" s="92" t="s">
        <v>169</v>
      </c>
      <c r="C42" s="94" t="s">
        <v>145</v>
      </c>
      <c r="D42" s="95">
        <v>1</v>
      </c>
      <c r="E42" s="96">
        <v>15000000</v>
      </c>
      <c r="F42" s="334">
        <f t="shared" si="2"/>
        <v>15000000</v>
      </c>
      <c r="G42" s="334"/>
    </row>
    <row r="43" spans="1:7" x14ac:dyDescent="0.3">
      <c r="A43" s="97">
        <v>5</v>
      </c>
      <c r="B43" s="92" t="s">
        <v>170</v>
      </c>
      <c r="C43" s="94" t="s">
        <v>145</v>
      </c>
      <c r="D43" s="95">
        <v>1</v>
      </c>
      <c r="E43" s="96">
        <v>10000000</v>
      </c>
      <c r="F43" s="334">
        <f t="shared" si="2"/>
        <v>10000000</v>
      </c>
      <c r="G43" s="334"/>
    </row>
    <row r="44" spans="1:7" x14ac:dyDescent="0.3">
      <c r="A44" s="97">
        <v>6</v>
      </c>
      <c r="B44" s="92" t="s">
        <v>171</v>
      </c>
      <c r="C44" s="94" t="s">
        <v>157</v>
      </c>
      <c r="D44" s="95">
        <v>150</v>
      </c>
      <c r="E44" s="96">
        <v>1500000</v>
      </c>
      <c r="F44" s="334">
        <f t="shared" si="2"/>
        <v>225000000</v>
      </c>
      <c r="G44" s="334"/>
    </row>
    <row r="45" spans="1:7" x14ac:dyDescent="0.3">
      <c r="A45" s="97">
        <v>7</v>
      </c>
      <c r="B45" s="92" t="s">
        <v>172</v>
      </c>
      <c r="C45" s="94" t="s">
        <v>157</v>
      </c>
      <c r="D45" s="95">
        <v>150</v>
      </c>
      <c r="E45" s="96">
        <v>1800000</v>
      </c>
      <c r="F45" s="334">
        <f t="shared" si="2"/>
        <v>270000000</v>
      </c>
      <c r="G45" s="334"/>
    </row>
    <row r="46" spans="1:7" x14ac:dyDescent="0.3">
      <c r="A46" s="97">
        <v>8</v>
      </c>
      <c r="B46" s="92" t="s">
        <v>173</v>
      </c>
      <c r="C46" s="94" t="s">
        <v>157</v>
      </c>
      <c r="D46" s="95">
        <v>3</v>
      </c>
      <c r="E46" s="96">
        <v>30000000</v>
      </c>
      <c r="F46" s="334">
        <f t="shared" si="2"/>
        <v>90000000</v>
      </c>
      <c r="G46" s="334"/>
    </row>
    <row r="47" spans="1:7" x14ac:dyDescent="0.3">
      <c r="A47" s="97">
        <v>9</v>
      </c>
      <c r="B47" s="92" t="s">
        <v>174</v>
      </c>
      <c r="C47" s="94" t="s">
        <v>175</v>
      </c>
      <c r="D47" s="95">
        <v>24</v>
      </c>
      <c r="E47" s="96">
        <v>500000</v>
      </c>
      <c r="F47" s="334">
        <f t="shared" si="2"/>
        <v>12000000</v>
      </c>
      <c r="G47" s="334"/>
    </row>
    <row r="48" spans="1:7" x14ac:dyDescent="0.3">
      <c r="A48" s="93"/>
      <c r="B48" s="98"/>
      <c r="C48" s="93"/>
      <c r="D48" s="93"/>
      <c r="E48" s="93"/>
      <c r="F48" s="342"/>
      <c r="G48" s="343"/>
    </row>
    <row r="49" spans="1:7" x14ac:dyDescent="0.3">
      <c r="A49" s="344" t="s">
        <v>176</v>
      </c>
      <c r="B49" s="345"/>
      <c r="C49" s="345"/>
      <c r="D49" s="345"/>
      <c r="E49" s="345"/>
      <c r="F49" s="334">
        <f>SUM(F39:F47)</f>
        <v>2043020000</v>
      </c>
      <c r="G49" s="334"/>
    </row>
    <row r="50" spans="1:7" x14ac:dyDescent="0.3">
      <c r="A50" s="89" t="s">
        <v>177</v>
      </c>
      <c r="B50" s="49" t="s">
        <v>178</v>
      </c>
      <c r="C50" s="87"/>
      <c r="D50" s="87"/>
      <c r="E50" s="87"/>
      <c r="F50" s="87"/>
      <c r="G50" s="99"/>
    </row>
    <row r="51" spans="1:7" x14ac:dyDescent="0.3">
      <c r="A51" s="338"/>
      <c r="B51" s="339"/>
      <c r="C51" s="339"/>
      <c r="D51" s="339"/>
      <c r="E51" s="339"/>
      <c r="F51" s="339"/>
      <c r="G51" s="340"/>
    </row>
    <row r="52" spans="1:7" x14ac:dyDescent="0.3">
      <c r="A52" s="91">
        <v>1</v>
      </c>
      <c r="B52" s="92" t="s">
        <v>179</v>
      </c>
      <c r="C52" s="94" t="s">
        <v>157</v>
      </c>
      <c r="D52" s="95">
        <v>147</v>
      </c>
      <c r="E52" s="96">
        <v>53802527</v>
      </c>
      <c r="F52" s="334">
        <f>E52*D52</f>
        <v>7908971469</v>
      </c>
      <c r="G52" s="334"/>
    </row>
    <row r="53" spans="1:7" x14ac:dyDescent="0.3">
      <c r="A53" s="93"/>
      <c r="B53" s="98"/>
      <c r="C53" s="93"/>
      <c r="D53" s="93"/>
      <c r="E53" s="93"/>
      <c r="F53" s="342"/>
      <c r="G53" s="343"/>
    </row>
    <row r="54" spans="1:7" ht="15" thickBot="1" x14ac:dyDescent="0.35">
      <c r="A54" s="351" t="s">
        <v>180</v>
      </c>
      <c r="B54" s="352"/>
      <c r="C54" s="352"/>
      <c r="D54" s="352"/>
      <c r="E54" s="352"/>
      <c r="F54" s="353">
        <f>F52</f>
        <v>7908971469</v>
      </c>
      <c r="G54" s="354"/>
    </row>
    <row r="55" spans="1:7" x14ac:dyDescent="0.3">
      <c r="A55" s="87"/>
      <c r="B55" s="87"/>
      <c r="C55" s="87"/>
      <c r="D55" s="87"/>
      <c r="E55" s="87"/>
      <c r="F55" s="87"/>
      <c r="G55" s="102">
        <f>SUM(F26+F36+F49+F52)</f>
        <v>16295056042.34</v>
      </c>
    </row>
    <row r="56" spans="1:7" x14ac:dyDescent="0.3">
      <c r="A56" s="87"/>
      <c r="B56" s="87"/>
      <c r="C56" s="87"/>
      <c r="D56" s="87"/>
      <c r="E56" s="87"/>
      <c r="F56" s="87"/>
      <c r="G56" s="87"/>
    </row>
    <row r="57" spans="1:7" x14ac:dyDescent="0.3">
      <c r="B57" s="87"/>
      <c r="C57" s="87"/>
      <c r="D57" s="87"/>
      <c r="F57" s="49" t="s">
        <v>181</v>
      </c>
    </row>
    <row r="58" spans="1:7" x14ac:dyDescent="0.3">
      <c r="B58" s="87"/>
      <c r="C58" s="87"/>
      <c r="D58" s="87"/>
      <c r="E58" s="87"/>
      <c r="F58" s="49" t="s">
        <v>182</v>
      </c>
      <c r="G58" s="87"/>
    </row>
    <row r="59" spans="1:7" x14ac:dyDescent="0.3">
      <c r="A59" s="87"/>
      <c r="B59" s="87"/>
      <c r="C59" s="87"/>
      <c r="D59" s="87"/>
      <c r="E59" s="87"/>
      <c r="F59" s="87"/>
      <c r="G59" s="87"/>
    </row>
    <row r="60" spans="1:7" x14ac:dyDescent="0.3">
      <c r="A60" s="87"/>
      <c r="B60" s="87"/>
      <c r="C60" s="87"/>
      <c r="D60" s="87"/>
      <c r="E60" s="87"/>
      <c r="F60" s="87"/>
      <c r="G60" s="87"/>
    </row>
    <row r="61" spans="1:7" x14ac:dyDescent="0.3">
      <c r="A61" s="87"/>
      <c r="B61" s="87"/>
      <c r="C61" s="87"/>
      <c r="D61" s="87"/>
      <c r="E61" s="49"/>
      <c r="F61" s="87"/>
      <c r="G61" s="87"/>
    </row>
    <row r="62" spans="1:7" x14ac:dyDescent="0.3">
      <c r="A62" s="87"/>
      <c r="B62" s="87"/>
      <c r="C62" s="87"/>
      <c r="D62" s="87"/>
      <c r="E62" s="87"/>
      <c r="F62" s="87"/>
      <c r="G62" s="87"/>
    </row>
    <row r="63" spans="1:7" x14ac:dyDescent="0.3">
      <c r="A63" s="87"/>
      <c r="B63" s="87"/>
      <c r="C63" s="87"/>
      <c r="D63" s="87"/>
      <c r="E63" s="87"/>
      <c r="F63" s="49" t="s">
        <v>183</v>
      </c>
      <c r="G63" s="87"/>
    </row>
    <row r="64" spans="1:7" x14ac:dyDescent="0.3">
      <c r="B64" s="87"/>
      <c r="C64" s="87"/>
      <c r="D64" s="87"/>
      <c r="E64" s="87"/>
      <c r="F64" s="87"/>
      <c r="G64" s="87"/>
    </row>
  </sheetData>
  <mergeCells count="57">
    <mergeCell ref="F52:G52"/>
    <mergeCell ref="F53:G53"/>
    <mergeCell ref="A54:E54"/>
    <mergeCell ref="F54:G54"/>
    <mergeCell ref="F47:G47"/>
    <mergeCell ref="F48:G48"/>
    <mergeCell ref="A49:E49"/>
    <mergeCell ref="F49:G49"/>
    <mergeCell ref="A51:G51"/>
    <mergeCell ref="F46:G46"/>
    <mergeCell ref="B37:G37"/>
    <mergeCell ref="A38:G38"/>
    <mergeCell ref="F39:G39"/>
    <mergeCell ref="F40:G40"/>
    <mergeCell ref="F41:G41"/>
    <mergeCell ref="F42:G42"/>
    <mergeCell ref="F43:G43"/>
    <mergeCell ref="F44:G44"/>
    <mergeCell ref="F45:G45"/>
    <mergeCell ref="F33:G33"/>
    <mergeCell ref="F34:G34"/>
    <mergeCell ref="F35:G35"/>
    <mergeCell ref="A36:E36"/>
    <mergeCell ref="F36:G36"/>
    <mergeCell ref="A28:G28"/>
    <mergeCell ref="F29:G29"/>
    <mergeCell ref="F30:G30"/>
    <mergeCell ref="F31:G31"/>
    <mergeCell ref="F32:G32"/>
    <mergeCell ref="F24:G24"/>
    <mergeCell ref="F25:G25"/>
    <mergeCell ref="A26:E26"/>
    <mergeCell ref="F26:G26"/>
    <mergeCell ref="B27:G27"/>
    <mergeCell ref="F23:G23"/>
    <mergeCell ref="F13:G13"/>
    <mergeCell ref="B14:G14"/>
    <mergeCell ref="A15:G15"/>
    <mergeCell ref="F16:G16"/>
    <mergeCell ref="F17:G17"/>
    <mergeCell ref="F18:G18"/>
    <mergeCell ref="F19:G19"/>
    <mergeCell ref="F20:G20"/>
    <mergeCell ref="F21:G21"/>
    <mergeCell ref="F22:G22"/>
    <mergeCell ref="F11:G12"/>
    <mergeCell ref="A5:G5"/>
    <mergeCell ref="A6:G6"/>
    <mergeCell ref="A7:B7"/>
    <mergeCell ref="A8:B8"/>
    <mergeCell ref="A9:B9"/>
    <mergeCell ref="A10:B10"/>
    <mergeCell ref="A11:A12"/>
    <mergeCell ref="B11:B12"/>
    <mergeCell ref="C11:C12"/>
    <mergeCell ref="D11:D12"/>
    <mergeCell ref="E11:E12"/>
  </mergeCells>
  <pageMargins left="0.7" right="0.7" top="0.75" bottom="0.75" header="0.3" footer="0.3"/>
  <pageSetup scale="72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561E-4545-451E-863F-2F363FEFF776}">
  <dimension ref="A1:N63"/>
  <sheetViews>
    <sheetView tabSelected="1" workbookViewId="0">
      <selection activeCell="L14" sqref="L14"/>
    </sheetView>
  </sheetViews>
  <sheetFormatPr defaultRowHeight="14.4" x14ac:dyDescent="0.3"/>
  <cols>
    <col min="1" max="1" width="2.21875" customWidth="1"/>
    <col min="5" max="5" width="33.88671875" customWidth="1"/>
    <col min="6" max="6" width="8.6640625" customWidth="1"/>
    <col min="7" max="8" width="8.88671875" hidden="1" customWidth="1"/>
    <col min="9" max="9" width="25" bestFit="1" customWidth="1"/>
    <col min="11" max="11" width="13.77734375" bestFit="1" customWidth="1"/>
    <col min="12" max="12" width="15.33203125" bestFit="1" customWidth="1"/>
    <col min="13" max="13" width="15.6640625" customWidth="1"/>
    <col min="14" max="14" width="15.33203125" bestFit="1" customWidth="1"/>
  </cols>
  <sheetData>
    <row r="1" spans="1:14" ht="15.6" x14ac:dyDescent="0.3">
      <c r="A1" s="103"/>
      <c r="B1" s="104"/>
      <c r="C1" s="104"/>
      <c r="D1" s="104"/>
      <c r="E1" s="104"/>
      <c r="F1" s="104"/>
      <c r="G1" s="105"/>
      <c r="H1" s="105"/>
      <c r="I1" s="105"/>
      <c r="J1" s="106"/>
      <c r="K1" s="104"/>
      <c r="L1" s="104"/>
      <c r="M1" s="104"/>
      <c r="N1" s="104"/>
    </row>
    <row r="2" spans="1:14" ht="15.6" x14ac:dyDescent="0.3">
      <c r="A2" s="103"/>
      <c r="B2" s="236" t="s">
        <v>186</v>
      </c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</row>
    <row r="3" spans="1:14" ht="15.6" x14ac:dyDescent="0.3">
      <c r="A3" s="103"/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</row>
    <row r="4" spans="1:14" ht="15.6" x14ac:dyDescent="0.3">
      <c r="A4" s="103"/>
      <c r="B4" s="107" t="s">
        <v>187</v>
      </c>
      <c r="C4" s="107"/>
      <c r="D4" s="107"/>
      <c r="E4" s="108"/>
      <c r="F4" s="108" t="s">
        <v>188</v>
      </c>
      <c r="G4" s="109"/>
      <c r="H4" s="110" t="s">
        <v>188</v>
      </c>
      <c r="I4" s="111">
        <f>16000000</f>
        <v>16000000</v>
      </c>
      <c r="J4" s="110"/>
      <c r="K4" s="111"/>
      <c r="L4" s="112"/>
      <c r="M4" s="104"/>
      <c r="N4" s="104"/>
    </row>
    <row r="5" spans="1:14" ht="15.6" x14ac:dyDescent="0.3">
      <c r="A5" s="103"/>
      <c r="B5" s="237" t="s">
        <v>189</v>
      </c>
      <c r="C5" s="237"/>
      <c r="D5" s="104"/>
      <c r="E5" s="238" t="s">
        <v>188</v>
      </c>
      <c r="F5" s="238"/>
      <c r="G5" s="115"/>
      <c r="H5" s="110" t="s">
        <v>188</v>
      </c>
      <c r="I5" s="116"/>
      <c r="J5" s="110"/>
      <c r="K5" s="113"/>
      <c r="L5" s="104"/>
      <c r="M5" s="104"/>
      <c r="N5" s="104"/>
    </row>
    <row r="6" spans="1:14" ht="16.2" thickBot="1" x14ac:dyDescent="0.35">
      <c r="A6" s="103"/>
      <c r="B6" s="116" t="s">
        <v>190</v>
      </c>
      <c r="C6" s="113"/>
      <c r="D6" s="104"/>
      <c r="E6" s="114"/>
      <c r="F6" s="114" t="s">
        <v>188</v>
      </c>
      <c r="G6" s="115"/>
      <c r="H6" s="110" t="s">
        <v>188</v>
      </c>
      <c r="I6" s="117"/>
      <c r="J6" s="110"/>
      <c r="K6" s="117"/>
      <c r="L6" s="104"/>
      <c r="M6" s="104"/>
      <c r="N6" s="104"/>
    </row>
    <row r="7" spans="1:14" ht="15.6" x14ac:dyDescent="0.3">
      <c r="A7" s="103"/>
      <c r="B7" s="239" t="s">
        <v>191</v>
      </c>
      <c r="C7" s="242" t="s">
        <v>6</v>
      </c>
      <c r="D7" s="243"/>
      <c r="E7" s="243"/>
      <c r="F7" s="243"/>
      <c r="G7" s="246" t="s">
        <v>192</v>
      </c>
      <c r="H7" s="246" t="s">
        <v>193</v>
      </c>
      <c r="I7" s="246" t="s">
        <v>192</v>
      </c>
      <c r="J7" s="249" t="s">
        <v>194</v>
      </c>
      <c r="K7" s="252" t="s">
        <v>195</v>
      </c>
      <c r="L7" s="253"/>
      <c r="M7" s="253"/>
      <c r="N7" s="254"/>
    </row>
    <row r="8" spans="1:14" ht="15.6" x14ac:dyDescent="0.3">
      <c r="A8" s="103"/>
      <c r="B8" s="240"/>
      <c r="C8" s="244"/>
      <c r="D8" s="245"/>
      <c r="E8" s="245"/>
      <c r="F8" s="245"/>
      <c r="G8" s="247"/>
      <c r="H8" s="247"/>
      <c r="I8" s="247"/>
      <c r="J8" s="250"/>
      <c r="K8" s="226" t="s">
        <v>196</v>
      </c>
      <c r="L8" s="227"/>
      <c r="M8" s="228" t="s">
        <v>196</v>
      </c>
      <c r="N8" s="229"/>
    </row>
    <row r="9" spans="1:14" ht="15.6" x14ac:dyDescent="0.3">
      <c r="A9" s="103"/>
      <c r="B9" s="241"/>
      <c r="C9" s="244"/>
      <c r="D9" s="245"/>
      <c r="E9" s="245"/>
      <c r="F9" s="245"/>
      <c r="G9" s="248"/>
      <c r="H9" s="248"/>
      <c r="I9" s="248"/>
      <c r="J9" s="251"/>
      <c r="K9" s="230" t="s">
        <v>197</v>
      </c>
      <c r="L9" s="232" t="s">
        <v>198</v>
      </c>
      <c r="M9" s="232" t="s">
        <v>197</v>
      </c>
      <c r="N9" s="234" t="s">
        <v>198</v>
      </c>
    </row>
    <row r="10" spans="1:14" ht="16.2" thickBot="1" x14ac:dyDescent="0.35">
      <c r="A10" s="103"/>
      <c r="B10" s="118"/>
      <c r="C10" s="220" t="s">
        <v>199</v>
      </c>
      <c r="D10" s="221"/>
      <c r="E10" s="221"/>
      <c r="F10" s="222"/>
      <c r="G10" s="119"/>
      <c r="H10" s="119"/>
      <c r="I10" s="119"/>
      <c r="J10" s="120"/>
      <c r="K10" s="231"/>
      <c r="L10" s="233"/>
      <c r="M10" s="233"/>
      <c r="N10" s="235"/>
    </row>
    <row r="11" spans="1:14" ht="16.8" thickTop="1" thickBot="1" x14ac:dyDescent="0.35">
      <c r="A11" s="103"/>
      <c r="B11" s="121">
        <v>1</v>
      </c>
      <c r="C11" s="223" t="s">
        <v>200</v>
      </c>
      <c r="D11" s="224"/>
      <c r="E11" s="224"/>
      <c r="F11" s="225"/>
      <c r="G11" s="122">
        <v>71820</v>
      </c>
      <c r="H11" s="123">
        <f t="shared" ref="H11:H42" si="0">G11*5%</f>
        <v>3591</v>
      </c>
      <c r="I11" s="122">
        <f>G11-H11</f>
        <v>68229</v>
      </c>
      <c r="J11" s="124">
        <f>I11/I45*100</f>
        <v>0.44961449752883031</v>
      </c>
      <c r="K11" s="125">
        <v>0</v>
      </c>
      <c r="L11" s="126">
        <f t="shared" ref="L11:L44" si="1">J11*K11%</f>
        <v>0</v>
      </c>
      <c r="M11" s="127">
        <v>0</v>
      </c>
      <c r="N11" s="128">
        <f t="shared" ref="N11:N44" si="2">J11*M11%</f>
        <v>0</v>
      </c>
    </row>
    <row r="12" spans="1:14" ht="16.8" thickTop="1" thickBot="1" x14ac:dyDescent="0.35">
      <c r="A12" s="103"/>
      <c r="B12" s="129">
        <f>B11+1</f>
        <v>2</v>
      </c>
      <c r="C12" s="214" t="s">
        <v>201</v>
      </c>
      <c r="D12" s="215"/>
      <c r="E12" s="215"/>
      <c r="F12" s="216"/>
      <c r="G12" s="122">
        <v>47880</v>
      </c>
      <c r="H12" s="123">
        <f t="shared" si="0"/>
        <v>2394</v>
      </c>
      <c r="I12" s="122">
        <f>G12-H12</f>
        <v>45486</v>
      </c>
      <c r="J12" s="124">
        <f>I12/I45*100</f>
        <v>0.29974299835255358</v>
      </c>
      <c r="K12" s="125">
        <v>0</v>
      </c>
      <c r="L12" s="126">
        <f t="shared" si="1"/>
        <v>0</v>
      </c>
      <c r="M12" s="127">
        <v>0</v>
      </c>
      <c r="N12" s="128">
        <f t="shared" si="2"/>
        <v>0</v>
      </c>
    </row>
    <row r="13" spans="1:14" ht="16.8" thickTop="1" thickBot="1" x14ac:dyDescent="0.35">
      <c r="A13" s="103"/>
      <c r="B13" s="129">
        <f t="shared" ref="B13:B41" si="3">B12+1</f>
        <v>3</v>
      </c>
      <c r="C13" s="214" t="s">
        <v>202</v>
      </c>
      <c r="D13" s="215"/>
      <c r="E13" s="215"/>
      <c r="F13" s="216"/>
      <c r="G13" s="122">
        <v>550620</v>
      </c>
      <c r="H13" s="123">
        <f t="shared" si="0"/>
        <v>27531</v>
      </c>
      <c r="I13" s="122">
        <f t="shared" ref="I13:I44" si="4">G13-H13</f>
        <v>523089</v>
      </c>
      <c r="J13" s="124">
        <f>I13/I45*100</f>
        <v>3.4470444810543657</v>
      </c>
      <c r="K13" s="125">
        <v>0</v>
      </c>
      <c r="L13" s="126">
        <f t="shared" si="1"/>
        <v>0</v>
      </c>
      <c r="M13" s="127">
        <v>0</v>
      </c>
      <c r="N13" s="128">
        <f t="shared" si="2"/>
        <v>0</v>
      </c>
    </row>
    <row r="14" spans="1:14" ht="16.8" thickTop="1" thickBot="1" x14ac:dyDescent="0.35">
      <c r="A14" s="103"/>
      <c r="B14" s="129">
        <f t="shared" si="3"/>
        <v>4</v>
      </c>
      <c r="C14" s="214" t="s">
        <v>203</v>
      </c>
      <c r="D14" s="215"/>
      <c r="E14" s="215"/>
      <c r="F14" s="216"/>
      <c r="G14" s="122">
        <v>526680</v>
      </c>
      <c r="H14" s="123">
        <f t="shared" si="0"/>
        <v>26334</v>
      </c>
      <c r="I14" s="122">
        <f t="shared" si="4"/>
        <v>500346</v>
      </c>
      <c r="J14" s="124">
        <f>I14/I45*100</f>
        <v>3.2971729818780888</v>
      </c>
      <c r="K14" s="125">
        <v>0</v>
      </c>
      <c r="L14" s="126">
        <f t="shared" si="1"/>
        <v>0</v>
      </c>
      <c r="M14" s="127">
        <v>0</v>
      </c>
      <c r="N14" s="128">
        <f t="shared" si="2"/>
        <v>0</v>
      </c>
    </row>
    <row r="15" spans="1:14" ht="16.8" thickTop="1" thickBot="1" x14ac:dyDescent="0.35">
      <c r="A15" s="103"/>
      <c r="B15" s="129">
        <f t="shared" si="3"/>
        <v>5</v>
      </c>
      <c r="C15" s="214" t="s">
        <v>204</v>
      </c>
      <c r="D15" s="215"/>
      <c r="E15" s="215"/>
      <c r="F15" s="216"/>
      <c r="G15" s="122">
        <v>1891140</v>
      </c>
      <c r="H15" s="123">
        <f t="shared" si="0"/>
        <v>94557</v>
      </c>
      <c r="I15" s="122">
        <f t="shared" si="4"/>
        <v>1796583</v>
      </c>
      <c r="J15" s="124">
        <f>I15/I45*100</f>
        <v>11.839097199341021</v>
      </c>
      <c r="K15" s="125">
        <v>0</v>
      </c>
      <c r="L15" s="126">
        <f t="shared" si="1"/>
        <v>0</v>
      </c>
      <c r="M15" s="127">
        <v>0</v>
      </c>
      <c r="N15" s="128">
        <f t="shared" si="2"/>
        <v>0</v>
      </c>
    </row>
    <row r="16" spans="1:14" ht="16.8" thickTop="1" thickBot="1" x14ac:dyDescent="0.35">
      <c r="A16" s="103"/>
      <c r="B16" s="129">
        <f t="shared" si="3"/>
        <v>6</v>
      </c>
      <c r="C16" s="214" t="s">
        <v>205</v>
      </c>
      <c r="D16" s="215"/>
      <c r="E16" s="215"/>
      <c r="F16" s="216"/>
      <c r="G16" s="122">
        <v>311220</v>
      </c>
      <c r="H16" s="123">
        <f t="shared" si="0"/>
        <v>15561</v>
      </c>
      <c r="I16" s="122">
        <f t="shared" si="4"/>
        <v>295659</v>
      </c>
      <c r="J16" s="124">
        <f>I16/I45*100</f>
        <v>1.9483294892915979</v>
      </c>
      <c r="K16" s="125">
        <v>0</v>
      </c>
      <c r="L16" s="126">
        <f t="shared" si="1"/>
        <v>0</v>
      </c>
      <c r="M16" s="127">
        <v>0</v>
      </c>
      <c r="N16" s="128">
        <f t="shared" si="2"/>
        <v>0</v>
      </c>
    </row>
    <row r="17" spans="1:14" ht="16.8" thickTop="1" thickBot="1" x14ac:dyDescent="0.35">
      <c r="A17" s="103"/>
      <c r="B17" s="129">
        <f t="shared" si="3"/>
        <v>7</v>
      </c>
      <c r="C17" s="214" t="s">
        <v>206</v>
      </c>
      <c r="D17" s="215"/>
      <c r="E17" s="215"/>
      <c r="F17" s="216"/>
      <c r="G17" s="122">
        <v>518700</v>
      </c>
      <c r="H17" s="123">
        <f t="shared" si="0"/>
        <v>25935</v>
      </c>
      <c r="I17" s="122">
        <f t="shared" si="4"/>
        <v>492765</v>
      </c>
      <c r="J17" s="124">
        <f>I17/I45*100</f>
        <v>3.2472158154859967</v>
      </c>
      <c r="K17" s="125">
        <v>0</v>
      </c>
      <c r="L17" s="126">
        <f t="shared" si="1"/>
        <v>0</v>
      </c>
      <c r="M17" s="127">
        <v>0</v>
      </c>
      <c r="N17" s="128">
        <f t="shared" si="2"/>
        <v>0</v>
      </c>
    </row>
    <row r="18" spans="1:14" ht="16.8" thickTop="1" thickBot="1" x14ac:dyDescent="0.35">
      <c r="A18" s="103"/>
      <c r="B18" s="129">
        <f t="shared" si="3"/>
        <v>8</v>
      </c>
      <c r="C18" s="214" t="s">
        <v>207</v>
      </c>
      <c r="D18" s="215"/>
      <c r="E18" s="215"/>
      <c r="F18" s="216"/>
      <c r="G18" s="122">
        <v>622440</v>
      </c>
      <c r="H18" s="123">
        <f t="shared" si="0"/>
        <v>31122</v>
      </c>
      <c r="I18" s="122">
        <f t="shared" si="4"/>
        <v>591318</v>
      </c>
      <c r="J18" s="124">
        <f>I18/I45*100</f>
        <v>3.8966589785831958</v>
      </c>
      <c r="K18" s="125">
        <v>0</v>
      </c>
      <c r="L18" s="126">
        <f t="shared" si="1"/>
        <v>0</v>
      </c>
      <c r="M18" s="127">
        <v>0</v>
      </c>
      <c r="N18" s="128">
        <f t="shared" si="2"/>
        <v>0</v>
      </c>
    </row>
    <row r="19" spans="1:14" ht="16.8" thickTop="1" thickBot="1" x14ac:dyDescent="0.35">
      <c r="A19" s="103"/>
      <c r="B19" s="129">
        <f>B18+1</f>
        <v>9</v>
      </c>
      <c r="C19" s="214" t="s">
        <v>208</v>
      </c>
      <c r="D19" s="215"/>
      <c r="E19" s="215"/>
      <c r="F19" s="216"/>
      <c r="G19" s="122">
        <v>345800</v>
      </c>
      <c r="H19" s="123">
        <f t="shared" si="0"/>
        <v>17290</v>
      </c>
      <c r="I19" s="122">
        <f t="shared" si="4"/>
        <v>328510</v>
      </c>
      <c r="J19" s="124">
        <f>I19/I45*100</f>
        <v>2.1648105436573313</v>
      </c>
      <c r="K19" s="125">
        <v>0</v>
      </c>
      <c r="L19" s="126">
        <f t="shared" si="1"/>
        <v>0</v>
      </c>
      <c r="M19" s="127">
        <v>0</v>
      </c>
      <c r="N19" s="128">
        <f t="shared" si="2"/>
        <v>0</v>
      </c>
    </row>
    <row r="20" spans="1:14" ht="16.8" thickTop="1" thickBot="1" x14ac:dyDescent="0.35">
      <c r="A20" s="103"/>
      <c r="B20" s="129">
        <f>B19+1</f>
        <v>10</v>
      </c>
      <c r="C20" s="214" t="s">
        <v>209</v>
      </c>
      <c r="D20" s="215"/>
      <c r="E20" s="215"/>
      <c r="F20" s="216"/>
      <c r="G20" s="122">
        <v>518700</v>
      </c>
      <c r="H20" s="123">
        <f t="shared" si="0"/>
        <v>25935</v>
      </c>
      <c r="I20" s="122">
        <f t="shared" si="4"/>
        <v>492765</v>
      </c>
      <c r="J20" s="124">
        <f>I20/I45*100</f>
        <v>3.2472158154859967</v>
      </c>
      <c r="K20" s="125">
        <v>0</v>
      </c>
      <c r="L20" s="126">
        <f t="shared" si="1"/>
        <v>0</v>
      </c>
      <c r="M20" s="127">
        <v>0</v>
      </c>
      <c r="N20" s="128">
        <f t="shared" si="2"/>
        <v>0</v>
      </c>
    </row>
    <row r="21" spans="1:14" ht="16.8" thickTop="1" thickBot="1" x14ac:dyDescent="0.35">
      <c r="A21" s="103"/>
      <c r="B21" s="129">
        <f t="shared" si="3"/>
        <v>11</v>
      </c>
      <c r="C21" s="214" t="s">
        <v>210</v>
      </c>
      <c r="D21" s="215"/>
      <c r="E21" s="215"/>
      <c r="F21" s="216"/>
      <c r="G21" s="122">
        <v>356250</v>
      </c>
      <c r="H21" s="123">
        <f t="shared" si="0"/>
        <v>17812.5</v>
      </c>
      <c r="I21" s="122">
        <f t="shared" si="4"/>
        <v>338437.5</v>
      </c>
      <c r="J21" s="124">
        <f>I21/I45*100</f>
        <v>2.2302306425041185</v>
      </c>
      <c r="K21" s="125">
        <v>0</v>
      </c>
      <c r="L21" s="126">
        <f t="shared" si="1"/>
        <v>0</v>
      </c>
      <c r="M21" s="127">
        <v>0</v>
      </c>
      <c r="N21" s="128">
        <f t="shared" si="2"/>
        <v>0</v>
      </c>
    </row>
    <row r="22" spans="1:14" ht="16.8" thickTop="1" thickBot="1" x14ac:dyDescent="0.35">
      <c r="A22" s="103"/>
      <c r="B22" s="129">
        <f>B21+1</f>
        <v>12</v>
      </c>
      <c r="C22" s="214" t="s">
        <v>211</v>
      </c>
      <c r="D22" s="215"/>
      <c r="E22" s="215"/>
      <c r="F22" s="216"/>
      <c r="G22" s="122">
        <v>237500</v>
      </c>
      <c r="H22" s="123">
        <f t="shared" si="0"/>
        <v>11875</v>
      </c>
      <c r="I22" s="122">
        <f t="shared" si="4"/>
        <v>225625</v>
      </c>
      <c r="J22" s="124">
        <f>I22/I45*100</f>
        <v>1.4868204283360791</v>
      </c>
      <c r="K22" s="125">
        <v>0</v>
      </c>
      <c r="L22" s="126">
        <f t="shared" si="1"/>
        <v>0</v>
      </c>
      <c r="M22" s="127">
        <v>0</v>
      </c>
      <c r="N22" s="128">
        <f t="shared" si="2"/>
        <v>0</v>
      </c>
    </row>
    <row r="23" spans="1:14" ht="16.8" thickTop="1" thickBot="1" x14ac:dyDescent="0.35">
      <c r="A23" s="103"/>
      <c r="B23" s="129">
        <f t="shared" si="3"/>
        <v>13</v>
      </c>
      <c r="C23" s="214" t="s">
        <v>212</v>
      </c>
      <c r="D23" s="215"/>
      <c r="E23" s="215"/>
      <c r="F23" s="216"/>
      <c r="G23" s="122">
        <v>593750</v>
      </c>
      <c r="H23" s="123">
        <f t="shared" si="0"/>
        <v>29687.5</v>
      </c>
      <c r="I23" s="122">
        <f t="shared" si="4"/>
        <v>564062.5</v>
      </c>
      <c r="J23" s="124">
        <f>I23/I45*100</f>
        <v>3.7170510708401978</v>
      </c>
      <c r="K23" s="125">
        <v>0</v>
      </c>
      <c r="L23" s="126">
        <f t="shared" si="1"/>
        <v>0</v>
      </c>
      <c r="M23" s="127">
        <v>0</v>
      </c>
      <c r="N23" s="128">
        <f t="shared" si="2"/>
        <v>0</v>
      </c>
    </row>
    <row r="24" spans="1:14" ht="16.8" thickTop="1" thickBot="1" x14ac:dyDescent="0.35">
      <c r="A24" s="103"/>
      <c r="B24" s="129">
        <f t="shared" si="3"/>
        <v>14</v>
      </c>
      <c r="C24" s="214" t="s">
        <v>213</v>
      </c>
      <c r="D24" s="215"/>
      <c r="E24" s="215"/>
      <c r="F24" s="216"/>
      <c r="G24" s="122">
        <v>356250</v>
      </c>
      <c r="H24" s="123">
        <f t="shared" si="0"/>
        <v>17812.5</v>
      </c>
      <c r="I24" s="122">
        <f t="shared" si="4"/>
        <v>338437.5</v>
      </c>
      <c r="J24" s="124">
        <f>I24/I45*100</f>
        <v>2.2302306425041185</v>
      </c>
      <c r="K24" s="125">
        <v>0</v>
      </c>
      <c r="L24" s="126">
        <f t="shared" si="1"/>
        <v>0</v>
      </c>
      <c r="M24" s="127">
        <v>0</v>
      </c>
      <c r="N24" s="128">
        <f t="shared" si="2"/>
        <v>0</v>
      </c>
    </row>
    <row r="25" spans="1:14" ht="16.8" thickTop="1" thickBot="1" x14ac:dyDescent="0.35">
      <c r="A25" s="103"/>
      <c r="B25" s="129">
        <f t="shared" si="3"/>
        <v>15</v>
      </c>
      <c r="C25" s="214" t="s">
        <v>214</v>
      </c>
      <c r="D25" s="215"/>
      <c r="E25" s="215"/>
      <c r="F25" s="216"/>
      <c r="G25" s="122">
        <v>356250</v>
      </c>
      <c r="H25" s="123">
        <f t="shared" si="0"/>
        <v>17812.5</v>
      </c>
      <c r="I25" s="122">
        <f t="shared" si="4"/>
        <v>338437.5</v>
      </c>
      <c r="J25" s="124">
        <f>I25/I45*100</f>
        <v>2.2302306425041185</v>
      </c>
      <c r="K25" s="125">
        <v>0</v>
      </c>
      <c r="L25" s="126">
        <f t="shared" si="1"/>
        <v>0</v>
      </c>
      <c r="M25" s="127">
        <v>0</v>
      </c>
      <c r="N25" s="128">
        <f t="shared" si="2"/>
        <v>0</v>
      </c>
    </row>
    <row r="26" spans="1:14" ht="16.8" thickTop="1" thickBot="1" x14ac:dyDescent="0.35">
      <c r="A26" s="103"/>
      <c r="B26" s="129">
        <f t="shared" si="3"/>
        <v>16</v>
      </c>
      <c r="C26" s="214" t="s">
        <v>215</v>
      </c>
      <c r="D26" s="215"/>
      <c r="E26" s="215"/>
      <c r="F26" s="216"/>
      <c r="G26" s="122">
        <v>237500</v>
      </c>
      <c r="H26" s="123">
        <f t="shared" si="0"/>
        <v>11875</v>
      </c>
      <c r="I26" s="122">
        <f t="shared" si="4"/>
        <v>225625</v>
      </c>
      <c r="J26" s="124">
        <f>I26/I45*100</f>
        <v>1.4868204283360791</v>
      </c>
      <c r="K26" s="125">
        <v>0</v>
      </c>
      <c r="L26" s="126">
        <f t="shared" si="1"/>
        <v>0</v>
      </c>
      <c r="M26" s="127">
        <v>0</v>
      </c>
      <c r="N26" s="128">
        <f t="shared" si="2"/>
        <v>0</v>
      </c>
    </row>
    <row r="27" spans="1:14" ht="16.8" thickTop="1" thickBot="1" x14ac:dyDescent="0.35">
      <c r="A27" s="103"/>
      <c r="B27" s="129">
        <f t="shared" si="3"/>
        <v>17</v>
      </c>
      <c r="C27" s="214" t="s">
        <v>216</v>
      </c>
      <c r="D27" s="215"/>
      <c r="E27" s="215"/>
      <c r="F27" s="216"/>
      <c r="G27" s="122">
        <v>237500</v>
      </c>
      <c r="H27" s="123">
        <f t="shared" si="0"/>
        <v>11875</v>
      </c>
      <c r="I27" s="122">
        <f t="shared" si="4"/>
        <v>225625</v>
      </c>
      <c r="J27" s="124">
        <f>I27/I45*100</f>
        <v>1.4868204283360791</v>
      </c>
      <c r="K27" s="125">
        <v>0</v>
      </c>
      <c r="L27" s="126">
        <f t="shared" si="1"/>
        <v>0</v>
      </c>
      <c r="M27" s="127">
        <v>0</v>
      </c>
      <c r="N27" s="128">
        <f t="shared" si="2"/>
        <v>0</v>
      </c>
    </row>
    <row r="28" spans="1:14" ht="16.8" thickTop="1" thickBot="1" x14ac:dyDescent="0.35">
      <c r="A28" s="103"/>
      <c r="B28" s="129">
        <f t="shared" si="3"/>
        <v>18</v>
      </c>
      <c r="C28" s="214" t="s">
        <v>217</v>
      </c>
      <c r="D28" s="215"/>
      <c r="E28" s="215"/>
      <c r="F28" s="216"/>
      <c r="G28" s="122">
        <v>1512000</v>
      </c>
      <c r="H28" s="123">
        <f t="shared" si="0"/>
        <v>75600</v>
      </c>
      <c r="I28" s="122">
        <f t="shared" si="4"/>
        <v>1436400</v>
      </c>
      <c r="J28" s="124">
        <f>I28/I45*100</f>
        <v>9.4655683690280057</v>
      </c>
      <c r="K28" s="125">
        <v>0</v>
      </c>
      <c r="L28" s="126">
        <f t="shared" si="1"/>
        <v>0</v>
      </c>
      <c r="M28" s="127">
        <v>0</v>
      </c>
      <c r="N28" s="128">
        <f t="shared" si="2"/>
        <v>0</v>
      </c>
    </row>
    <row r="29" spans="1:14" ht="16.8" thickTop="1" thickBot="1" x14ac:dyDescent="0.35">
      <c r="A29" s="103"/>
      <c r="B29" s="129">
        <f t="shared" si="3"/>
        <v>19</v>
      </c>
      <c r="C29" s="214" t="s">
        <v>218</v>
      </c>
      <c r="D29" s="215"/>
      <c r="E29" s="215"/>
      <c r="F29" s="216"/>
      <c r="G29" s="122">
        <v>798000</v>
      </c>
      <c r="H29" s="123">
        <f t="shared" si="0"/>
        <v>39900</v>
      </c>
      <c r="I29" s="122">
        <f t="shared" si="4"/>
        <v>758100</v>
      </c>
      <c r="J29" s="124">
        <f>I29/I45*100</f>
        <v>4.9957166392092258</v>
      </c>
      <c r="K29" s="125">
        <v>0</v>
      </c>
      <c r="L29" s="126">
        <f t="shared" si="1"/>
        <v>0</v>
      </c>
      <c r="M29" s="127">
        <v>0</v>
      </c>
      <c r="N29" s="128">
        <f t="shared" si="2"/>
        <v>0</v>
      </c>
    </row>
    <row r="30" spans="1:14" ht="16.8" thickTop="1" thickBot="1" x14ac:dyDescent="0.35">
      <c r="A30" s="103"/>
      <c r="B30" s="129">
        <f t="shared" si="3"/>
        <v>20</v>
      </c>
      <c r="C30" s="214" t="s">
        <v>219</v>
      </c>
      <c r="D30" s="215"/>
      <c r="E30" s="215"/>
      <c r="F30" s="216"/>
      <c r="G30" s="122">
        <v>119700</v>
      </c>
      <c r="H30" s="123">
        <f t="shared" si="0"/>
        <v>5985</v>
      </c>
      <c r="I30" s="122">
        <f t="shared" si="4"/>
        <v>113715</v>
      </c>
      <c r="J30" s="124">
        <f>I30/I45*100</f>
        <v>0.74935749588138389</v>
      </c>
      <c r="K30" s="125">
        <v>0</v>
      </c>
      <c r="L30" s="126">
        <f t="shared" si="1"/>
        <v>0</v>
      </c>
      <c r="M30" s="127">
        <v>0</v>
      </c>
      <c r="N30" s="128">
        <f t="shared" si="2"/>
        <v>0</v>
      </c>
    </row>
    <row r="31" spans="1:14" ht="16.8" thickTop="1" thickBot="1" x14ac:dyDescent="0.35">
      <c r="A31" s="103"/>
      <c r="B31" s="129">
        <f t="shared" si="3"/>
        <v>21</v>
      </c>
      <c r="C31" s="214" t="s">
        <v>220</v>
      </c>
      <c r="D31" s="215"/>
      <c r="E31" s="215"/>
      <c r="F31" s="216"/>
      <c r="G31" s="122">
        <v>119700</v>
      </c>
      <c r="H31" s="123">
        <f t="shared" si="0"/>
        <v>5985</v>
      </c>
      <c r="I31" s="122">
        <f t="shared" si="4"/>
        <v>113715</v>
      </c>
      <c r="J31" s="124">
        <f>I31/I45*100</f>
        <v>0.74935749588138389</v>
      </c>
      <c r="K31" s="125">
        <v>0</v>
      </c>
      <c r="L31" s="126">
        <f t="shared" si="1"/>
        <v>0</v>
      </c>
      <c r="M31" s="127">
        <v>0</v>
      </c>
      <c r="N31" s="128">
        <f t="shared" si="2"/>
        <v>0</v>
      </c>
    </row>
    <row r="32" spans="1:14" ht="16.8" thickTop="1" thickBot="1" x14ac:dyDescent="0.35">
      <c r="A32" s="103"/>
      <c r="B32" s="129">
        <f>B31+1</f>
        <v>22</v>
      </c>
      <c r="C32" s="214" t="s">
        <v>221</v>
      </c>
      <c r="D32" s="215"/>
      <c r="E32" s="215"/>
      <c r="F32" s="216"/>
      <c r="G32" s="122">
        <v>26600</v>
      </c>
      <c r="H32" s="123">
        <f t="shared" si="0"/>
        <v>1330</v>
      </c>
      <c r="I32" s="122">
        <f t="shared" si="4"/>
        <v>25270</v>
      </c>
      <c r="J32" s="124">
        <f>I32/I45*100</f>
        <v>0.16652388797364087</v>
      </c>
      <c r="K32" s="125">
        <v>0</v>
      </c>
      <c r="L32" s="126">
        <f t="shared" si="1"/>
        <v>0</v>
      </c>
      <c r="M32" s="127">
        <v>0</v>
      </c>
      <c r="N32" s="128">
        <f t="shared" si="2"/>
        <v>0</v>
      </c>
    </row>
    <row r="33" spans="1:14" ht="16.8" thickTop="1" thickBot="1" x14ac:dyDescent="0.35">
      <c r="A33" s="103"/>
      <c r="B33" s="129">
        <f t="shared" si="3"/>
        <v>23</v>
      </c>
      <c r="C33" s="214" t="s">
        <v>222</v>
      </c>
      <c r="D33" s="215"/>
      <c r="E33" s="215"/>
      <c r="F33" s="216"/>
      <c r="G33" s="122">
        <v>674310</v>
      </c>
      <c r="H33" s="123">
        <f t="shared" si="0"/>
        <v>33715.5</v>
      </c>
      <c r="I33" s="122">
        <f t="shared" si="4"/>
        <v>640594.5</v>
      </c>
      <c r="J33" s="124">
        <f>I33/I45*100</f>
        <v>4.2213805601317951</v>
      </c>
      <c r="K33" s="125">
        <v>0</v>
      </c>
      <c r="L33" s="126">
        <f t="shared" si="1"/>
        <v>0</v>
      </c>
      <c r="M33" s="127">
        <v>0</v>
      </c>
      <c r="N33" s="128">
        <f t="shared" si="2"/>
        <v>0</v>
      </c>
    </row>
    <row r="34" spans="1:14" ht="16.8" thickTop="1" thickBot="1" x14ac:dyDescent="0.35">
      <c r="A34" s="103"/>
      <c r="B34" s="129">
        <f>B33+1</f>
        <v>24</v>
      </c>
      <c r="C34" s="214" t="s">
        <v>223</v>
      </c>
      <c r="D34" s="215"/>
      <c r="E34" s="215"/>
      <c r="F34" s="216"/>
      <c r="G34" s="122">
        <v>950950</v>
      </c>
      <c r="H34" s="123">
        <f t="shared" si="0"/>
        <v>47547.5</v>
      </c>
      <c r="I34" s="122">
        <f t="shared" si="4"/>
        <v>903402.5</v>
      </c>
      <c r="J34" s="124">
        <f>I34/I45*100</f>
        <v>5.9532289950576605</v>
      </c>
      <c r="K34" s="125">
        <v>0</v>
      </c>
      <c r="L34" s="126">
        <f t="shared" si="1"/>
        <v>0</v>
      </c>
      <c r="M34" s="127">
        <v>0</v>
      </c>
      <c r="N34" s="128">
        <f t="shared" si="2"/>
        <v>0</v>
      </c>
    </row>
    <row r="35" spans="1:14" ht="16.8" thickTop="1" thickBot="1" x14ac:dyDescent="0.35">
      <c r="A35" s="103"/>
      <c r="B35" s="129">
        <f t="shared" si="3"/>
        <v>25</v>
      </c>
      <c r="C35" s="214" t="s">
        <v>224</v>
      </c>
      <c r="D35" s="215"/>
      <c r="E35" s="215"/>
      <c r="F35" s="216"/>
      <c r="G35" s="122">
        <v>103740</v>
      </c>
      <c r="H35" s="123">
        <f t="shared" si="0"/>
        <v>5187</v>
      </c>
      <c r="I35" s="122">
        <f t="shared" si="4"/>
        <v>98553</v>
      </c>
      <c r="J35" s="124">
        <f>I35/I45*100</f>
        <v>0.64944316309719941</v>
      </c>
      <c r="K35" s="125">
        <v>0</v>
      </c>
      <c r="L35" s="126">
        <f t="shared" si="1"/>
        <v>0</v>
      </c>
      <c r="M35" s="127">
        <v>0</v>
      </c>
      <c r="N35" s="128">
        <f t="shared" si="2"/>
        <v>0</v>
      </c>
    </row>
    <row r="36" spans="1:14" ht="16.8" thickTop="1" thickBot="1" x14ac:dyDescent="0.35">
      <c r="A36" s="103"/>
      <c r="B36" s="129">
        <f>B35+1</f>
        <v>26</v>
      </c>
      <c r="C36" s="214" t="s">
        <v>225</v>
      </c>
      <c r="D36" s="215"/>
      <c r="E36" s="215"/>
      <c r="F36" s="216"/>
      <c r="G36" s="122">
        <v>478800</v>
      </c>
      <c r="H36" s="123">
        <f t="shared" si="0"/>
        <v>23940</v>
      </c>
      <c r="I36" s="122">
        <f t="shared" si="4"/>
        <v>454860</v>
      </c>
      <c r="J36" s="124">
        <f>I36/I45*100</f>
        <v>2.9974299835255356</v>
      </c>
      <c r="K36" s="125">
        <v>0</v>
      </c>
      <c r="L36" s="126">
        <f t="shared" si="1"/>
        <v>0</v>
      </c>
      <c r="M36" s="127">
        <v>0</v>
      </c>
      <c r="N36" s="128">
        <f t="shared" si="2"/>
        <v>0</v>
      </c>
    </row>
    <row r="37" spans="1:14" ht="16.8" thickTop="1" thickBot="1" x14ac:dyDescent="0.35">
      <c r="A37" s="103"/>
      <c r="B37" s="129">
        <f t="shared" si="3"/>
        <v>27</v>
      </c>
      <c r="C37" s="214" t="s">
        <v>226</v>
      </c>
      <c r="D37" s="215"/>
      <c r="E37" s="215"/>
      <c r="F37" s="216"/>
      <c r="G37" s="122">
        <v>598500</v>
      </c>
      <c r="H37" s="123">
        <f t="shared" si="0"/>
        <v>29925</v>
      </c>
      <c r="I37" s="122">
        <f t="shared" si="4"/>
        <v>568575</v>
      </c>
      <c r="J37" s="124">
        <f>I37/I45*100</f>
        <v>3.7467874794069189</v>
      </c>
      <c r="K37" s="125">
        <v>0</v>
      </c>
      <c r="L37" s="126">
        <f t="shared" si="1"/>
        <v>0</v>
      </c>
      <c r="M37" s="127">
        <v>0</v>
      </c>
      <c r="N37" s="128">
        <f t="shared" si="2"/>
        <v>0</v>
      </c>
    </row>
    <row r="38" spans="1:14" ht="16.8" thickTop="1" thickBot="1" x14ac:dyDescent="0.35">
      <c r="A38" s="103"/>
      <c r="B38" s="129">
        <f t="shared" si="3"/>
        <v>28</v>
      </c>
      <c r="C38" s="214" t="s">
        <v>227</v>
      </c>
      <c r="D38" s="215"/>
      <c r="E38" s="215"/>
      <c r="F38" s="216"/>
      <c r="G38" s="122">
        <v>837900</v>
      </c>
      <c r="H38" s="123">
        <f t="shared" si="0"/>
        <v>41895</v>
      </c>
      <c r="I38" s="122">
        <f t="shared" si="4"/>
        <v>796005</v>
      </c>
      <c r="J38" s="124">
        <f>I38/I45*100</f>
        <v>5.2455024711696874</v>
      </c>
      <c r="K38" s="125">
        <v>0</v>
      </c>
      <c r="L38" s="126">
        <f t="shared" si="1"/>
        <v>0</v>
      </c>
      <c r="M38" s="127">
        <v>0</v>
      </c>
      <c r="N38" s="128">
        <f t="shared" si="2"/>
        <v>0</v>
      </c>
    </row>
    <row r="39" spans="1:14" ht="16.8" thickTop="1" thickBot="1" x14ac:dyDescent="0.35">
      <c r="A39" s="103"/>
      <c r="B39" s="129">
        <f t="shared" si="3"/>
        <v>29</v>
      </c>
      <c r="C39" s="214" t="s">
        <v>228</v>
      </c>
      <c r="D39" s="215"/>
      <c r="E39" s="215"/>
      <c r="F39" s="216"/>
      <c r="G39" s="122">
        <v>478800</v>
      </c>
      <c r="H39" s="123">
        <f t="shared" si="0"/>
        <v>23940</v>
      </c>
      <c r="I39" s="122">
        <f t="shared" si="4"/>
        <v>454860</v>
      </c>
      <c r="J39" s="124">
        <f>I39/I45*100</f>
        <v>2.9974299835255356</v>
      </c>
      <c r="K39" s="125">
        <v>0</v>
      </c>
      <c r="L39" s="126">
        <f t="shared" si="1"/>
        <v>0</v>
      </c>
      <c r="M39" s="127">
        <v>0</v>
      </c>
      <c r="N39" s="128">
        <f t="shared" si="2"/>
        <v>0</v>
      </c>
    </row>
    <row r="40" spans="1:14" ht="16.8" thickTop="1" thickBot="1" x14ac:dyDescent="0.35">
      <c r="A40" s="103"/>
      <c r="B40" s="129">
        <f t="shared" si="3"/>
        <v>30</v>
      </c>
      <c r="C40" s="214" t="s">
        <v>229</v>
      </c>
      <c r="D40" s="215"/>
      <c r="E40" s="215"/>
      <c r="F40" s="216"/>
      <c r="G40" s="122">
        <v>95760</v>
      </c>
      <c r="H40" s="123">
        <f t="shared" si="0"/>
        <v>4788</v>
      </c>
      <c r="I40" s="122">
        <f t="shared" si="4"/>
        <v>90972</v>
      </c>
      <c r="J40" s="124">
        <f>I40/I45*100</f>
        <v>0.59948599670510716</v>
      </c>
      <c r="K40" s="125">
        <v>0</v>
      </c>
      <c r="L40" s="126">
        <f t="shared" si="1"/>
        <v>0</v>
      </c>
      <c r="M40" s="127">
        <v>0</v>
      </c>
      <c r="N40" s="128">
        <f t="shared" si="2"/>
        <v>0</v>
      </c>
    </row>
    <row r="41" spans="1:14" ht="16.8" thickTop="1" thickBot="1" x14ac:dyDescent="0.35">
      <c r="A41" s="103"/>
      <c r="B41" s="129">
        <f t="shared" si="3"/>
        <v>31</v>
      </c>
      <c r="C41" s="214" t="s">
        <v>230</v>
      </c>
      <c r="D41" s="215"/>
      <c r="E41" s="215"/>
      <c r="F41" s="216"/>
      <c r="G41" s="122">
        <v>430920</v>
      </c>
      <c r="H41" s="123">
        <f t="shared" si="0"/>
        <v>21546</v>
      </c>
      <c r="I41" s="122">
        <f t="shared" si="4"/>
        <v>409374</v>
      </c>
      <c r="J41" s="124">
        <f>I41/I45*100</f>
        <v>2.6976869851729819</v>
      </c>
      <c r="K41" s="125">
        <v>0</v>
      </c>
      <c r="L41" s="126">
        <f t="shared" si="1"/>
        <v>0</v>
      </c>
      <c r="M41" s="127">
        <v>0</v>
      </c>
      <c r="N41" s="128">
        <f t="shared" si="2"/>
        <v>0</v>
      </c>
    </row>
    <row r="42" spans="1:14" ht="16.8" thickTop="1" thickBot="1" x14ac:dyDescent="0.35">
      <c r="A42" s="103"/>
      <c r="B42" s="129">
        <f>B41+1</f>
        <v>32</v>
      </c>
      <c r="C42" s="214" t="s">
        <v>231</v>
      </c>
      <c r="D42" s="215"/>
      <c r="E42" s="215"/>
      <c r="F42" s="216"/>
      <c r="G42" s="122">
        <v>494320</v>
      </c>
      <c r="H42" s="123">
        <f t="shared" si="0"/>
        <v>24716</v>
      </c>
      <c r="I42" s="122">
        <f t="shared" si="4"/>
        <v>469604</v>
      </c>
      <c r="J42" s="124">
        <f>I42/I45*100</f>
        <v>3.0945897858319604</v>
      </c>
      <c r="K42" s="125">
        <v>0</v>
      </c>
      <c r="L42" s="126">
        <f t="shared" si="1"/>
        <v>0</v>
      </c>
      <c r="M42" s="127">
        <v>0</v>
      </c>
      <c r="N42" s="128">
        <f t="shared" si="2"/>
        <v>0</v>
      </c>
    </row>
    <row r="43" spans="1:14" ht="16.8" thickTop="1" thickBot="1" x14ac:dyDescent="0.35">
      <c r="A43" s="103"/>
      <c r="B43" s="129">
        <f>B42+1</f>
        <v>33</v>
      </c>
      <c r="C43" s="214" t="s">
        <v>232</v>
      </c>
      <c r="D43" s="215"/>
      <c r="E43" s="215"/>
      <c r="F43" s="216"/>
      <c r="G43" s="122">
        <v>350000</v>
      </c>
      <c r="H43" s="123">
        <f>G43*10%</f>
        <v>35000</v>
      </c>
      <c r="I43" s="122">
        <f t="shared" si="4"/>
        <v>315000</v>
      </c>
      <c r="J43" s="124">
        <f>I43/I45*100</f>
        <v>2.0757825370675453</v>
      </c>
      <c r="K43" s="125">
        <v>0</v>
      </c>
      <c r="L43" s="126">
        <f t="shared" si="1"/>
        <v>0</v>
      </c>
      <c r="M43" s="127">
        <v>0</v>
      </c>
      <c r="N43" s="128">
        <f t="shared" si="2"/>
        <v>0</v>
      </c>
    </row>
    <row r="44" spans="1:14" ht="16.8" thickTop="1" thickBot="1" x14ac:dyDescent="0.35">
      <c r="A44" s="103"/>
      <c r="B44" s="129">
        <f>B43+1</f>
        <v>34</v>
      </c>
      <c r="C44" s="217" t="s">
        <v>233</v>
      </c>
      <c r="D44" s="218"/>
      <c r="E44" s="218"/>
      <c r="F44" s="219"/>
      <c r="G44" s="122">
        <v>150000</v>
      </c>
      <c r="H44" s="123">
        <f>G44*10%</f>
        <v>15000</v>
      </c>
      <c r="I44" s="122">
        <f t="shared" si="4"/>
        <v>135000</v>
      </c>
      <c r="J44" s="124">
        <f>I44/I45*100</f>
        <v>0.88962108731466227</v>
      </c>
      <c r="K44" s="125">
        <v>0</v>
      </c>
      <c r="L44" s="126">
        <f t="shared" si="1"/>
        <v>0</v>
      </c>
      <c r="M44" s="127">
        <v>0</v>
      </c>
      <c r="N44" s="128">
        <f t="shared" si="2"/>
        <v>0</v>
      </c>
    </row>
    <row r="45" spans="1:14" ht="16.2" thickTop="1" x14ac:dyDescent="0.3">
      <c r="A45" s="103"/>
      <c r="B45" s="130" t="s">
        <v>234</v>
      </c>
      <c r="C45" s="131"/>
      <c r="D45" s="131"/>
      <c r="E45" s="131"/>
      <c r="F45" s="131"/>
      <c r="G45" s="132">
        <f>SUM(G11:G44)</f>
        <v>16000000</v>
      </c>
      <c r="H45" s="132">
        <f>SUM(H11:H44)</f>
        <v>825000</v>
      </c>
      <c r="I45" s="132">
        <f>SUM(I11:I44)</f>
        <v>15175000</v>
      </c>
      <c r="J45" s="133">
        <f>SUM(J11:J44)</f>
        <v>100</v>
      </c>
      <c r="K45" s="134"/>
      <c r="L45" s="135">
        <f>SUM(L11:L44)</f>
        <v>0</v>
      </c>
      <c r="M45" s="136"/>
      <c r="N45" s="137">
        <f>SUM(N11:N44)</f>
        <v>0</v>
      </c>
    </row>
    <row r="46" spans="1:14" ht="15.6" x14ac:dyDescent="0.3">
      <c r="A46" s="103"/>
      <c r="B46" s="138" t="s">
        <v>235</v>
      </c>
      <c r="C46" s="139"/>
      <c r="D46" s="139"/>
      <c r="E46" s="139"/>
      <c r="F46" s="139"/>
      <c r="G46" s="140"/>
      <c r="H46" s="140"/>
      <c r="I46" s="140"/>
      <c r="J46" s="141"/>
      <c r="K46" s="142"/>
      <c r="L46" s="143">
        <v>0</v>
      </c>
      <c r="M46" s="144"/>
      <c r="N46" s="145">
        <v>0</v>
      </c>
    </row>
    <row r="47" spans="1:14" ht="16.2" thickBot="1" x14ac:dyDescent="0.35">
      <c r="A47" s="103"/>
      <c r="B47" s="146" t="s">
        <v>236</v>
      </c>
      <c r="C47" s="147"/>
      <c r="D47" s="147"/>
      <c r="E47" s="147"/>
      <c r="F47" s="147"/>
      <c r="G47" s="148"/>
      <c r="H47" s="148"/>
      <c r="I47" s="148"/>
      <c r="J47" s="149"/>
      <c r="K47" s="150"/>
      <c r="L47" s="151">
        <f>L45-L46</f>
        <v>0</v>
      </c>
      <c r="M47" s="152"/>
      <c r="N47" s="153">
        <f>N45-N46</f>
        <v>0</v>
      </c>
    </row>
    <row r="48" spans="1:14" ht="16.2" thickTop="1" x14ac:dyDescent="0.3">
      <c r="A48" s="103"/>
      <c r="B48" s="154" t="s">
        <v>237</v>
      </c>
      <c r="C48" s="155"/>
      <c r="D48" s="155"/>
      <c r="E48" s="155"/>
      <c r="F48" s="155"/>
      <c r="G48" s="156"/>
      <c r="H48" s="156"/>
      <c r="I48" s="156"/>
      <c r="J48" s="157"/>
      <c r="K48" s="158"/>
      <c r="L48" s="159">
        <f>I4*L45</f>
        <v>0</v>
      </c>
      <c r="M48" s="160"/>
      <c r="N48" s="161">
        <f>I4*N45</f>
        <v>0</v>
      </c>
    </row>
    <row r="49" spans="1:14" ht="15.6" x14ac:dyDescent="0.3">
      <c r="A49" s="103"/>
      <c r="B49" s="162" t="s">
        <v>238</v>
      </c>
      <c r="C49" s="163"/>
      <c r="D49" s="163"/>
      <c r="E49" s="163"/>
      <c r="F49" s="163"/>
      <c r="G49" s="164"/>
      <c r="H49" s="164"/>
      <c r="I49" s="164"/>
      <c r="J49" s="165"/>
      <c r="K49" s="166"/>
      <c r="L49" s="167">
        <v>0</v>
      </c>
      <c r="M49" s="168"/>
      <c r="N49" s="169">
        <v>0</v>
      </c>
    </row>
    <row r="50" spans="1:14" ht="16.2" thickBot="1" x14ac:dyDescent="0.35">
      <c r="A50" s="103"/>
      <c r="B50" s="170" t="s">
        <v>239</v>
      </c>
      <c r="C50" s="171"/>
      <c r="D50" s="171"/>
      <c r="E50" s="171"/>
      <c r="F50" s="171"/>
      <c r="G50" s="172"/>
      <c r="H50" s="172"/>
      <c r="I50" s="172"/>
      <c r="J50" s="173"/>
      <c r="K50" s="174"/>
      <c r="L50" s="175">
        <f>L48-L49</f>
        <v>0</v>
      </c>
      <c r="M50" s="176"/>
      <c r="N50" s="177">
        <f>N48-N49</f>
        <v>0</v>
      </c>
    </row>
    <row r="51" spans="1:14" ht="16.2" thickTop="1" x14ac:dyDescent="0.3">
      <c r="A51" s="103"/>
      <c r="B51" s="178" t="s">
        <v>240</v>
      </c>
      <c r="C51" s="179"/>
      <c r="D51" s="179"/>
      <c r="E51" s="179"/>
      <c r="F51" s="179"/>
      <c r="G51" s="180"/>
      <c r="H51" s="180"/>
      <c r="I51" s="180"/>
      <c r="J51" s="181"/>
      <c r="K51" s="182"/>
      <c r="L51" s="183">
        <f>L48+N48</f>
        <v>0</v>
      </c>
      <c r="M51" s="184"/>
      <c r="N51" s="185"/>
    </row>
    <row r="52" spans="1:14" ht="15.6" x14ac:dyDescent="0.3">
      <c r="A52" s="103"/>
      <c r="B52" s="186" t="s">
        <v>241</v>
      </c>
      <c r="C52" s="187"/>
      <c r="D52" s="187"/>
      <c r="E52" s="187"/>
      <c r="F52" s="187"/>
      <c r="G52" s="188"/>
      <c r="H52" s="188"/>
      <c r="I52" s="188"/>
      <c r="J52" s="189"/>
      <c r="K52" s="190"/>
      <c r="L52" s="191">
        <f>L49+N49</f>
        <v>0</v>
      </c>
      <c r="M52" s="192"/>
      <c r="N52" s="193"/>
    </row>
    <row r="53" spans="1:14" ht="16.2" thickBot="1" x14ac:dyDescent="0.35">
      <c r="A53" s="103"/>
      <c r="B53" s="194" t="s">
        <v>242</v>
      </c>
      <c r="C53" s="195"/>
      <c r="D53" s="195"/>
      <c r="E53" s="195"/>
      <c r="F53" s="195"/>
      <c r="G53" s="196"/>
      <c r="H53" s="196"/>
      <c r="I53" s="196"/>
      <c r="J53" s="197"/>
      <c r="K53" s="198"/>
      <c r="L53" s="199">
        <f>L51-L52</f>
        <v>0</v>
      </c>
      <c r="M53" s="200"/>
      <c r="N53" s="201"/>
    </row>
    <row r="54" spans="1:14" ht="15.6" x14ac:dyDescent="0.3">
      <c r="A54" s="103"/>
      <c r="B54" s="202"/>
      <c r="C54" s="202"/>
      <c r="D54" s="202"/>
      <c r="E54" s="202"/>
      <c r="F54" s="202"/>
      <c r="G54" s="203"/>
      <c r="H54" s="203"/>
      <c r="I54" s="203"/>
      <c r="J54" s="204"/>
      <c r="K54" s="205"/>
      <c r="L54" s="202"/>
      <c r="M54" s="202"/>
      <c r="N54" s="202"/>
    </row>
    <row r="55" spans="1:14" ht="15.6" x14ac:dyDescent="0.3">
      <c r="A55" s="103"/>
      <c r="B55" s="202"/>
      <c r="C55" s="202"/>
      <c r="D55" s="202"/>
      <c r="E55" s="202"/>
      <c r="F55" s="202"/>
      <c r="G55" s="203"/>
      <c r="H55" s="203"/>
      <c r="I55" s="203"/>
      <c r="J55" s="204"/>
      <c r="K55" s="103"/>
      <c r="L55" s="206"/>
      <c r="M55" s="207" t="s">
        <v>243</v>
      </c>
      <c r="N55" s="208"/>
    </row>
    <row r="56" spans="1:14" ht="15.6" x14ac:dyDescent="0.3">
      <c r="A56" s="103"/>
      <c r="B56" s="202"/>
      <c r="C56" s="202"/>
      <c r="D56" s="202"/>
      <c r="E56" s="202"/>
      <c r="F56" s="202"/>
      <c r="G56" s="203"/>
      <c r="H56" s="203"/>
      <c r="I56" s="203"/>
      <c r="J56" s="204"/>
      <c r="K56" s="103"/>
      <c r="L56" s="202"/>
      <c r="M56" s="208"/>
      <c r="N56" s="208"/>
    </row>
    <row r="57" spans="1:14" ht="15.6" x14ac:dyDescent="0.3">
      <c r="A57" s="103"/>
      <c r="B57" s="202"/>
      <c r="C57" s="209" t="s">
        <v>244</v>
      </c>
      <c r="D57" s="202"/>
      <c r="E57" s="103"/>
      <c r="F57" s="103"/>
      <c r="G57" s="210"/>
      <c r="H57" s="209"/>
      <c r="I57" s="209" t="s">
        <v>245</v>
      </c>
      <c r="J57" s="209"/>
      <c r="K57" s="103"/>
      <c r="L57" s="103"/>
      <c r="M57" s="209" t="s">
        <v>246</v>
      </c>
      <c r="N57" s="208"/>
    </row>
    <row r="58" spans="1:14" ht="15.6" x14ac:dyDescent="0.3">
      <c r="A58" s="103"/>
      <c r="B58" s="202"/>
      <c r="C58" s="209"/>
      <c r="D58" s="202"/>
      <c r="E58" s="103"/>
      <c r="F58" s="103"/>
      <c r="G58" s="210"/>
      <c r="H58" s="211"/>
      <c r="I58" s="209"/>
      <c r="J58" s="209"/>
      <c r="K58" s="103"/>
      <c r="L58" s="103"/>
      <c r="M58" s="209"/>
      <c r="N58" s="208"/>
    </row>
    <row r="59" spans="1:14" ht="15.6" x14ac:dyDescent="0.3">
      <c r="A59" s="103"/>
      <c r="B59" s="202"/>
      <c r="C59" s="209"/>
      <c r="D59" s="202"/>
      <c r="E59" s="103"/>
      <c r="F59" s="103"/>
      <c r="G59" s="210"/>
      <c r="H59" s="211"/>
      <c r="I59" s="209"/>
      <c r="J59" s="209"/>
      <c r="K59" s="103"/>
      <c r="L59" s="103"/>
      <c r="M59" s="209"/>
      <c r="N59" s="208"/>
    </row>
    <row r="60" spans="1:14" ht="15.6" x14ac:dyDescent="0.3">
      <c r="A60" s="103"/>
      <c r="B60" s="202"/>
      <c r="C60" s="209"/>
      <c r="D60" s="202"/>
      <c r="E60" s="103"/>
      <c r="F60" s="103"/>
      <c r="G60" s="210"/>
      <c r="H60" s="211"/>
      <c r="I60" s="209"/>
      <c r="J60" s="209"/>
      <c r="K60" s="103"/>
      <c r="L60" s="103"/>
      <c r="M60" s="209"/>
      <c r="N60" s="208"/>
    </row>
    <row r="61" spans="1:14" ht="15.6" x14ac:dyDescent="0.3">
      <c r="A61" s="103"/>
      <c r="B61" s="202"/>
      <c r="C61" s="209"/>
      <c r="D61" s="202"/>
      <c r="E61" s="103"/>
      <c r="F61" s="103"/>
      <c r="G61" s="210"/>
      <c r="H61" s="211"/>
      <c r="I61" s="209"/>
      <c r="J61" s="209"/>
      <c r="K61" s="103"/>
      <c r="L61" s="103"/>
      <c r="M61" s="209"/>
      <c r="N61" s="208"/>
    </row>
    <row r="62" spans="1:14" ht="15.6" x14ac:dyDescent="0.3">
      <c r="A62" s="103"/>
      <c r="B62" s="202"/>
      <c r="C62" s="209"/>
      <c r="D62" s="202"/>
      <c r="E62" s="103"/>
      <c r="F62" s="103"/>
      <c r="G62" s="210"/>
      <c r="H62" s="211"/>
      <c r="I62" s="209"/>
      <c r="J62" s="209"/>
      <c r="K62" s="103"/>
      <c r="L62" s="103"/>
      <c r="M62" s="209"/>
      <c r="N62" s="208"/>
    </row>
    <row r="63" spans="1:14" ht="15.6" x14ac:dyDescent="0.3">
      <c r="A63" s="103"/>
      <c r="B63" s="202"/>
      <c r="C63" s="212"/>
      <c r="D63" s="202"/>
      <c r="E63" s="103"/>
      <c r="F63" s="103"/>
      <c r="G63" s="210"/>
      <c r="H63" s="212"/>
      <c r="I63" s="212"/>
      <c r="J63" s="212"/>
      <c r="K63" s="103"/>
      <c r="L63" s="103"/>
      <c r="M63" s="212" t="s">
        <v>247</v>
      </c>
      <c r="N63" s="213"/>
    </row>
  </sheetData>
  <mergeCells count="51">
    <mergeCell ref="B2:N3"/>
    <mergeCell ref="B5:C5"/>
    <mergeCell ref="E5:F5"/>
    <mergeCell ref="B7:B9"/>
    <mergeCell ref="C7:F9"/>
    <mergeCell ref="G7:G9"/>
    <mergeCell ref="H7:H9"/>
    <mergeCell ref="I7:I9"/>
    <mergeCell ref="J7:J9"/>
    <mergeCell ref="K7:N7"/>
    <mergeCell ref="C15:F15"/>
    <mergeCell ref="K8:L8"/>
    <mergeCell ref="M8:N8"/>
    <mergeCell ref="K9:K10"/>
    <mergeCell ref="L9:L10"/>
    <mergeCell ref="M9:M10"/>
    <mergeCell ref="N9:N10"/>
    <mergeCell ref="C10:F10"/>
    <mergeCell ref="C11:F11"/>
    <mergeCell ref="C12:F12"/>
    <mergeCell ref="C13:F13"/>
    <mergeCell ref="C14:F14"/>
    <mergeCell ref="C27:F27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39:F39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40:F40"/>
    <mergeCell ref="C41:F41"/>
    <mergeCell ref="C42:F42"/>
    <mergeCell ref="C43:F43"/>
    <mergeCell ref="C44:F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6BAC-CB3E-4D68-B8D1-A21CA07ABF18}">
  <dimension ref="A1:F63"/>
  <sheetViews>
    <sheetView topLeftCell="A43" workbookViewId="0">
      <selection activeCell="H29" sqref="H29"/>
    </sheetView>
  </sheetViews>
  <sheetFormatPr defaultRowHeight="14.4" x14ac:dyDescent="0.3"/>
  <cols>
    <col min="1" max="1" width="4.109375" customWidth="1"/>
    <col min="2" max="2" width="51.21875" bestFit="1" customWidth="1"/>
    <col min="5" max="5" width="12" bestFit="1" customWidth="1"/>
    <col min="6" max="6" width="13.44140625" bestFit="1" customWidth="1"/>
  </cols>
  <sheetData>
    <row r="1" spans="1:6" ht="21" x14ac:dyDescent="0.4">
      <c r="A1" s="356" t="s">
        <v>58</v>
      </c>
      <c r="B1" s="357"/>
      <c r="C1" s="357"/>
      <c r="D1" s="357"/>
      <c r="E1" s="357"/>
      <c r="F1" s="358"/>
    </row>
    <row r="2" spans="1:6" x14ac:dyDescent="0.3">
      <c r="A2" s="35" t="s">
        <v>5</v>
      </c>
      <c r="B2" s="36" t="s">
        <v>59</v>
      </c>
      <c r="C2" s="36" t="s">
        <v>60</v>
      </c>
      <c r="D2" s="36" t="s">
        <v>61</v>
      </c>
      <c r="E2" s="36" t="s">
        <v>62</v>
      </c>
      <c r="F2" s="37" t="s">
        <v>63</v>
      </c>
    </row>
    <row r="3" spans="1:6" x14ac:dyDescent="0.3">
      <c r="A3" s="38">
        <v>1</v>
      </c>
      <c r="B3" s="39" t="s">
        <v>64</v>
      </c>
      <c r="C3" s="39"/>
      <c r="D3" s="40"/>
      <c r="E3" s="39"/>
      <c r="F3" s="41"/>
    </row>
    <row r="4" spans="1:6" x14ac:dyDescent="0.3">
      <c r="A4" s="42">
        <v>1</v>
      </c>
      <c r="B4" s="43" t="s">
        <v>65</v>
      </c>
      <c r="C4" s="44" t="s">
        <v>66</v>
      </c>
      <c r="D4" s="44">
        <v>1</v>
      </c>
      <c r="E4" s="45">
        <v>100000</v>
      </c>
      <c r="F4" s="46">
        <f>D4*E4</f>
        <v>100000</v>
      </c>
    </row>
    <row r="5" spans="1:6" x14ac:dyDescent="0.3">
      <c r="A5" s="42">
        <v>2</v>
      </c>
      <c r="B5" s="43" t="s">
        <v>67</v>
      </c>
      <c r="C5" s="44" t="s">
        <v>68</v>
      </c>
      <c r="D5" s="44">
        <v>11.57</v>
      </c>
      <c r="E5" s="45">
        <v>15000</v>
      </c>
      <c r="F5" s="46">
        <f t="shared" ref="F5" si="0">D5*E5</f>
        <v>173550</v>
      </c>
    </row>
    <row r="6" spans="1:6" x14ac:dyDescent="0.3">
      <c r="A6" s="42">
        <v>3</v>
      </c>
      <c r="B6" s="47" t="s">
        <v>69</v>
      </c>
      <c r="C6" s="44" t="s">
        <v>68</v>
      </c>
      <c r="D6" s="44">
        <v>8.57</v>
      </c>
      <c r="E6" s="45">
        <v>55000</v>
      </c>
      <c r="F6" s="46">
        <f>D6*E6</f>
        <v>471350</v>
      </c>
    </row>
    <row r="7" spans="1:6" x14ac:dyDescent="0.3">
      <c r="A7" s="48">
        <v>4</v>
      </c>
      <c r="B7" s="49" t="s">
        <v>70</v>
      </c>
      <c r="C7" s="50" t="s">
        <v>71</v>
      </c>
      <c r="D7" s="50">
        <v>10</v>
      </c>
      <c r="E7" s="45">
        <v>180000</v>
      </c>
      <c r="F7" s="46">
        <f>D7*E7</f>
        <v>1800000</v>
      </c>
    </row>
    <row r="8" spans="1:6" x14ac:dyDescent="0.3">
      <c r="A8" s="359" t="s">
        <v>10</v>
      </c>
      <c r="B8" s="360"/>
      <c r="C8" s="360"/>
      <c r="D8" s="360"/>
      <c r="E8" s="361"/>
      <c r="F8" s="51">
        <f>F4+F5+F6+F7</f>
        <v>2544900</v>
      </c>
    </row>
    <row r="9" spans="1:6" x14ac:dyDescent="0.3">
      <c r="A9" s="52">
        <v>1</v>
      </c>
      <c r="B9" s="53" t="s">
        <v>72</v>
      </c>
      <c r="C9" s="53"/>
      <c r="D9" s="54"/>
      <c r="E9" s="53"/>
      <c r="F9" s="55"/>
    </row>
    <row r="10" spans="1:6" x14ac:dyDescent="0.3">
      <c r="A10" s="35">
        <v>1</v>
      </c>
      <c r="B10" s="56" t="s">
        <v>73</v>
      </c>
      <c r="C10" s="56" t="s">
        <v>74</v>
      </c>
      <c r="D10" s="57">
        <v>10</v>
      </c>
      <c r="E10" s="45">
        <v>850000</v>
      </c>
      <c r="F10" s="58">
        <f t="shared" ref="F10:F19" si="1">E10*D10</f>
        <v>8500000</v>
      </c>
    </row>
    <row r="11" spans="1:6" x14ac:dyDescent="0.3">
      <c r="A11" s="35">
        <v>2</v>
      </c>
      <c r="B11" s="56" t="s">
        <v>75</v>
      </c>
      <c r="C11" s="56" t="s">
        <v>76</v>
      </c>
      <c r="D11" s="57">
        <v>40</v>
      </c>
      <c r="E11" s="45">
        <v>70000</v>
      </c>
      <c r="F11" s="58">
        <f t="shared" si="1"/>
        <v>2800000</v>
      </c>
    </row>
    <row r="12" spans="1:6" x14ac:dyDescent="0.3">
      <c r="A12" s="35">
        <v>3</v>
      </c>
      <c r="B12" s="56" t="s">
        <v>77</v>
      </c>
      <c r="C12" s="56" t="s">
        <v>76</v>
      </c>
      <c r="D12" s="57">
        <v>35</v>
      </c>
      <c r="E12" s="45">
        <v>50000</v>
      </c>
      <c r="F12" s="58">
        <f t="shared" si="1"/>
        <v>1750000</v>
      </c>
    </row>
    <row r="13" spans="1:6" x14ac:dyDescent="0.3">
      <c r="A13" s="35">
        <v>4</v>
      </c>
      <c r="B13" s="56" t="s">
        <v>78</v>
      </c>
      <c r="C13" s="56" t="s">
        <v>76</v>
      </c>
      <c r="D13" s="57">
        <v>20</v>
      </c>
      <c r="E13" s="45">
        <v>100000</v>
      </c>
      <c r="F13" s="58">
        <f>E13*D13</f>
        <v>2000000</v>
      </c>
    </row>
    <row r="14" spans="1:6" x14ac:dyDescent="0.3">
      <c r="A14" s="35">
        <v>5</v>
      </c>
      <c r="B14" s="59" t="s">
        <v>79</v>
      </c>
      <c r="C14" s="59" t="s">
        <v>80</v>
      </c>
      <c r="D14" s="57">
        <v>70</v>
      </c>
      <c r="E14" s="60">
        <v>60000</v>
      </c>
      <c r="F14" s="58">
        <f t="shared" si="1"/>
        <v>4200000</v>
      </c>
    </row>
    <row r="15" spans="1:6" x14ac:dyDescent="0.3">
      <c r="A15" s="35">
        <v>6</v>
      </c>
      <c r="B15" s="59" t="s">
        <v>81</v>
      </c>
      <c r="C15" s="59" t="s">
        <v>80</v>
      </c>
      <c r="D15" s="57">
        <v>17</v>
      </c>
      <c r="E15" s="60">
        <v>110000</v>
      </c>
      <c r="F15" s="58">
        <f t="shared" si="1"/>
        <v>1870000</v>
      </c>
    </row>
    <row r="16" spans="1:6" x14ac:dyDescent="0.3">
      <c r="A16" s="35">
        <v>7</v>
      </c>
      <c r="B16" s="59" t="s">
        <v>82</v>
      </c>
      <c r="C16" s="59" t="s">
        <v>80</v>
      </c>
      <c r="D16" s="57">
        <v>3</v>
      </c>
      <c r="E16" s="60">
        <v>140000</v>
      </c>
      <c r="F16" s="58">
        <f t="shared" si="1"/>
        <v>420000</v>
      </c>
    </row>
    <row r="17" spans="1:6" x14ac:dyDescent="0.3">
      <c r="A17" s="35">
        <v>8</v>
      </c>
      <c r="B17" s="56" t="s">
        <v>83</v>
      </c>
      <c r="C17" s="56" t="s">
        <v>68</v>
      </c>
      <c r="D17" s="57">
        <v>4</v>
      </c>
      <c r="E17" s="60">
        <v>600000</v>
      </c>
      <c r="F17" s="58">
        <f t="shared" si="1"/>
        <v>2400000</v>
      </c>
    </row>
    <row r="18" spans="1:6" x14ac:dyDescent="0.3">
      <c r="A18" s="35">
        <v>9</v>
      </c>
      <c r="B18" s="56" t="s">
        <v>84</v>
      </c>
      <c r="C18" s="56" t="s">
        <v>68</v>
      </c>
      <c r="D18" s="57">
        <v>1</v>
      </c>
      <c r="E18" s="45">
        <v>850000</v>
      </c>
      <c r="F18" s="58">
        <f t="shared" si="1"/>
        <v>850000</v>
      </c>
    </row>
    <row r="19" spans="1:6" x14ac:dyDescent="0.3">
      <c r="A19" s="35">
        <v>10</v>
      </c>
      <c r="B19" s="56" t="s">
        <v>85</v>
      </c>
      <c r="C19" s="56" t="s">
        <v>86</v>
      </c>
      <c r="D19" s="57">
        <v>18</v>
      </c>
      <c r="E19" s="45">
        <v>25000</v>
      </c>
      <c r="F19" s="58">
        <f t="shared" si="1"/>
        <v>450000</v>
      </c>
    </row>
    <row r="20" spans="1:6" x14ac:dyDescent="0.3">
      <c r="A20" s="35"/>
      <c r="B20" s="362" t="s">
        <v>10</v>
      </c>
      <c r="C20" s="362"/>
      <c r="D20" s="362"/>
      <c r="E20" s="362"/>
      <c r="F20" s="62">
        <f>SUM(F10:F19)</f>
        <v>25240000</v>
      </c>
    </row>
    <row r="21" spans="1:6" x14ac:dyDescent="0.3">
      <c r="A21" s="38">
        <v>2</v>
      </c>
      <c r="B21" s="63" t="s">
        <v>87</v>
      </c>
      <c r="C21" s="63"/>
      <c r="D21" s="64"/>
      <c r="E21" s="65"/>
      <c r="F21" s="66"/>
    </row>
    <row r="22" spans="1:6" x14ac:dyDescent="0.3">
      <c r="A22" s="35">
        <v>1</v>
      </c>
      <c r="B22" s="56" t="s">
        <v>88</v>
      </c>
      <c r="C22" s="56" t="s">
        <v>86</v>
      </c>
      <c r="D22" s="57">
        <v>22</v>
      </c>
      <c r="E22" s="67">
        <v>103000</v>
      </c>
      <c r="F22" s="58">
        <f t="shared" ref="F22:F30" si="2">E22*D22</f>
        <v>2266000</v>
      </c>
    </row>
    <row r="23" spans="1:6" x14ac:dyDescent="0.3">
      <c r="A23" s="35">
        <v>2</v>
      </c>
      <c r="B23" s="59" t="s">
        <v>89</v>
      </c>
      <c r="C23" s="59" t="s">
        <v>86</v>
      </c>
      <c r="D23" s="57">
        <v>18</v>
      </c>
      <c r="E23" s="67">
        <v>70000</v>
      </c>
      <c r="F23" s="58">
        <f t="shared" si="2"/>
        <v>1260000</v>
      </c>
    </row>
    <row r="24" spans="1:6" x14ac:dyDescent="0.3">
      <c r="A24" s="35">
        <v>3</v>
      </c>
      <c r="B24" s="59" t="s">
        <v>90</v>
      </c>
      <c r="C24" s="59" t="s">
        <v>86</v>
      </c>
      <c r="D24" s="57">
        <v>16</v>
      </c>
      <c r="E24" s="67">
        <v>97000</v>
      </c>
      <c r="F24" s="58">
        <f t="shared" si="2"/>
        <v>1552000</v>
      </c>
    </row>
    <row r="25" spans="1:6" x14ac:dyDescent="0.3">
      <c r="A25" s="35">
        <v>4</v>
      </c>
      <c r="B25" s="59" t="s">
        <v>91</v>
      </c>
      <c r="C25" s="59" t="s">
        <v>86</v>
      </c>
      <c r="D25" s="57">
        <v>4</v>
      </c>
      <c r="E25" s="67">
        <v>55000</v>
      </c>
      <c r="F25" s="58">
        <f t="shared" si="2"/>
        <v>220000</v>
      </c>
    </row>
    <row r="26" spans="1:6" x14ac:dyDescent="0.3">
      <c r="A26" s="35">
        <v>5</v>
      </c>
      <c r="B26" s="59" t="s">
        <v>92</v>
      </c>
      <c r="C26" s="59" t="s">
        <v>86</v>
      </c>
      <c r="D26" s="57">
        <v>3</v>
      </c>
      <c r="E26" s="67">
        <v>342036</v>
      </c>
      <c r="F26" s="58">
        <f t="shared" si="2"/>
        <v>1026108</v>
      </c>
    </row>
    <row r="27" spans="1:6" x14ac:dyDescent="0.3">
      <c r="A27" s="35">
        <v>6</v>
      </c>
      <c r="B27" s="56" t="s">
        <v>93</v>
      </c>
      <c r="C27" s="56" t="s">
        <v>86</v>
      </c>
      <c r="D27" s="57">
        <v>50</v>
      </c>
      <c r="E27" s="67">
        <v>20000</v>
      </c>
      <c r="F27" s="58">
        <f t="shared" si="2"/>
        <v>1000000</v>
      </c>
    </row>
    <row r="28" spans="1:6" x14ac:dyDescent="0.3">
      <c r="A28" s="35">
        <v>7</v>
      </c>
      <c r="B28" s="56" t="s">
        <v>94</v>
      </c>
      <c r="C28" s="56" t="s">
        <v>68</v>
      </c>
      <c r="D28" s="57">
        <v>10</v>
      </c>
      <c r="E28" s="67">
        <v>20000</v>
      </c>
      <c r="F28" s="58">
        <f t="shared" si="2"/>
        <v>200000</v>
      </c>
    </row>
    <row r="29" spans="1:6" x14ac:dyDescent="0.3">
      <c r="A29" s="35">
        <v>8</v>
      </c>
      <c r="B29" s="56" t="s">
        <v>95</v>
      </c>
      <c r="C29" s="56" t="s">
        <v>86</v>
      </c>
      <c r="D29" s="57">
        <v>15</v>
      </c>
      <c r="E29" s="67">
        <v>25000</v>
      </c>
      <c r="F29" s="58">
        <f t="shared" si="2"/>
        <v>375000</v>
      </c>
    </row>
    <row r="30" spans="1:6" x14ac:dyDescent="0.3">
      <c r="A30" s="35">
        <v>7</v>
      </c>
      <c r="B30" s="56" t="s">
        <v>96</v>
      </c>
      <c r="C30" s="56" t="s">
        <v>86</v>
      </c>
      <c r="D30" s="57">
        <v>18</v>
      </c>
      <c r="E30" s="67">
        <v>60000</v>
      </c>
      <c r="F30" s="58">
        <f t="shared" si="2"/>
        <v>1080000</v>
      </c>
    </row>
    <row r="31" spans="1:6" x14ac:dyDescent="0.3">
      <c r="A31" s="35"/>
      <c r="B31" s="363" t="s">
        <v>10</v>
      </c>
      <c r="C31" s="363"/>
      <c r="D31" s="363"/>
      <c r="E31" s="363"/>
      <c r="F31" s="62">
        <f>SUM(F22:F30)</f>
        <v>8979108</v>
      </c>
    </row>
    <row r="32" spans="1:6" x14ac:dyDescent="0.3">
      <c r="A32" s="38">
        <v>3</v>
      </c>
      <c r="B32" s="63" t="s">
        <v>97</v>
      </c>
      <c r="C32" s="63"/>
      <c r="D32" s="69"/>
      <c r="E32" s="63"/>
      <c r="F32" s="70"/>
    </row>
    <row r="33" spans="1:6" x14ac:dyDescent="0.3">
      <c r="A33" s="35">
        <v>1</v>
      </c>
      <c r="B33" s="56" t="s">
        <v>98</v>
      </c>
      <c r="C33" s="56"/>
      <c r="D33" s="71"/>
      <c r="E33" s="67"/>
      <c r="F33" s="58">
        <v>6500000</v>
      </c>
    </row>
    <row r="34" spans="1:6" x14ac:dyDescent="0.3">
      <c r="A34" s="35"/>
      <c r="B34" s="363" t="s">
        <v>10</v>
      </c>
      <c r="C34" s="363"/>
      <c r="D34" s="363"/>
      <c r="E34" s="363"/>
      <c r="F34" s="62">
        <f>SUM(F33:F33)</f>
        <v>6500000</v>
      </c>
    </row>
    <row r="35" spans="1:6" x14ac:dyDescent="0.3">
      <c r="A35" s="38">
        <v>4</v>
      </c>
      <c r="B35" s="63" t="s">
        <v>99</v>
      </c>
      <c r="C35" s="63"/>
      <c r="D35" s="72"/>
      <c r="E35" s="65"/>
      <c r="F35" s="66"/>
    </row>
    <row r="36" spans="1:6" x14ac:dyDescent="0.3">
      <c r="A36" s="35"/>
      <c r="B36" s="56" t="s">
        <v>100</v>
      </c>
      <c r="C36" s="56" t="s">
        <v>101</v>
      </c>
      <c r="D36" s="61">
        <v>40</v>
      </c>
      <c r="E36" s="67">
        <v>80000</v>
      </c>
      <c r="F36" s="58">
        <f t="shared" ref="F36:F47" si="3">E36*D36</f>
        <v>3200000</v>
      </c>
    </row>
    <row r="37" spans="1:6" x14ac:dyDescent="0.3">
      <c r="A37" s="35"/>
      <c r="B37" s="56" t="s">
        <v>102</v>
      </c>
      <c r="C37" s="56" t="s">
        <v>101</v>
      </c>
      <c r="D37" s="61">
        <v>4</v>
      </c>
      <c r="E37" s="67">
        <v>81000</v>
      </c>
      <c r="F37" s="58">
        <f t="shared" si="3"/>
        <v>324000</v>
      </c>
    </row>
    <row r="38" spans="1:6" x14ac:dyDescent="0.3">
      <c r="A38" s="35"/>
      <c r="B38" s="56" t="s">
        <v>103</v>
      </c>
      <c r="C38" s="56" t="s">
        <v>101</v>
      </c>
      <c r="D38" s="61">
        <v>8</v>
      </c>
      <c r="E38" s="67">
        <v>84000</v>
      </c>
      <c r="F38" s="58">
        <f t="shared" si="3"/>
        <v>672000</v>
      </c>
    </row>
    <row r="39" spans="1:6" x14ac:dyDescent="0.3">
      <c r="A39" s="35"/>
      <c r="B39" s="59" t="s">
        <v>104</v>
      </c>
      <c r="C39" s="59" t="s">
        <v>105</v>
      </c>
      <c r="D39" s="61">
        <v>1</v>
      </c>
      <c r="E39" s="67">
        <v>300000</v>
      </c>
      <c r="F39" s="58">
        <f t="shared" si="3"/>
        <v>300000</v>
      </c>
    </row>
    <row r="40" spans="1:6" x14ac:dyDescent="0.3">
      <c r="A40" s="35"/>
      <c r="B40" s="56" t="s">
        <v>106</v>
      </c>
      <c r="C40" s="56" t="s">
        <v>105</v>
      </c>
      <c r="D40" s="61">
        <v>1</v>
      </c>
      <c r="E40" s="67">
        <v>205221</v>
      </c>
      <c r="F40" s="58">
        <f t="shared" si="3"/>
        <v>205221</v>
      </c>
    </row>
    <row r="41" spans="1:6" x14ac:dyDescent="0.3">
      <c r="A41" s="35"/>
      <c r="B41" s="56" t="s">
        <v>107</v>
      </c>
      <c r="C41" s="56"/>
      <c r="D41" s="61">
        <v>4</v>
      </c>
      <c r="E41" s="67">
        <v>20000</v>
      </c>
      <c r="F41" s="58">
        <f t="shared" si="3"/>
        <v>80000</v>
      </c>
    </row>
    <row r="42" spans="1:6" x14ac:dyDescent="0.3">
      <c r="A42" s="35"/>
      <c r="B42" s="56" t="s">
        <v>108</v>
      </c>
      <c r="C42" s="56"/>
      <c r="D42" s="61">
        <v>4</v>
      </c>
      <c r="E42" s="67">
        <v>47885</v>
      </c>
      <c r="F42" s="58">
        <f t="shared" si="3"/>
        <v>191540</v>
      </c>
    </row>
    <row r="43" spans="1:6" x14ac:dyDescent="0.3">
      <c r="A43" s="35"/>
      <c r="B43" s="56" t="s">
        <v>109</v>
      </c>
      <c r="C43" s="56"/>
      <c r="D43" s="61">
        <v>2</v>
      </c>
      <c r="E43" s="67">
        <v>60000</v>
      </c>
      <c r="F43" s="58">
        <f t="shared" si="3"/>
        <v>120000</v>
      </c>
    </row>
    <row r="44" spans="1:6" x14ac:dyDescent="0.3">
      <c r="A44" s="35"/>
      <c r="B44" s="56" t="s">
        <v>110</v>
      </c>
      <c r="C44" s="56"/>
      <c r="D44" s="61">
        <v>4</v>
      </c>
      <c r="E44" s="67">
        <v>60000</v>
      </c>
      <c r="F44" s="58">
        <f t="shared" si="3"/>
        <v>240000</v>
      </c>
    </row>
    <row r="45" spans="1:6" x14ac:dyDescent="0.3">
      <c r="A45" s="35"/>
      <c r="B45" s="59" t="s">
        <v>111</v>
      </c>
      <c r="C45" s="59"/>
      <c r="D45" s="61">
        <v>1</v>
      </c>
      <c r="E45" s="67">
        <v>250000</v>
      </c>
      <c r="F45" s="58">
        <f t="shared" si="3"/>
        <v>250000</v>
      </c>
    </row>
    <row r="46" spans="1:6" x14ac:dyDescent="0.3">
      <c r="A46" s="35"/>
      <c r="B46" s="56" t="s">
        <v>112</v>
      </c>
      <c r="C46" s="56"/>
      <c r="D46" s="61">
        <v>3</v>
      </c>
      <c r="E46" s="67">
        <v>17000</v>
      </c>
      <c r="F46" s="58">
        <f t="shared" si="3"/>
        <v>51000</v>
      </c>
    </row>
    <row r="47" spans="1:6" x14ac:dyDescent="0.3">
      <c r="A47" s="35"/>
      <c r="B47" s="59" t="s">
        <v>113</v>
      </c>
      <c r="C47" s="59"/>
      <c r="D47" s="61">
        <v>1</v>
      </c>
      <c r="E47" s="67">
        <v>17000</v>
      </c>
      <c r="F47" s="58">
        <f t="shared" si="3"/>
        <v>17000</v>
      </c>
    </row>
    <row r="48" spans="1:6" x14ac:dyDescent="0.3">
      <c r="A48" s="35"/>
      <c r="B48" s="56"/>
      <c r="C48" s="56"/>
      <c r="D48" s="355"/>
      <c r="E48" s="355"/>
      <c r="F48" s="62">
        <f>SUM(F36:F47)</f>
        <v>5650761</v>
      </c>
    </row>
    <row r="49" spans="1:6" x14ac:dyDescent="0.3">
      <c r="A49" s="38">
        <v>5</v>
      </c>
      <c r="B49" s="63" t="s">
        <v>114</v>
      </c>
      <c r="C49" s="63"/>
      <c r="D49" s="69"/>
      <c r="E49" s="65"/>
      <c r="F49" s="66"/>
    </row>
    <row r="50" spans="1:6" x14ac:dyDescent="0.3">
      <c r="A50" s="35"/>
      <c r="B50" s="56" t="s">
        <v>115</v>
      </c>
      <c r="C50" s="56"/>
      <c r="D50" s="61">
        <v>1</v>
      </c>
      <c r="E50" s="67">
        <v>684072</v>
      </c>
      <c r="F50" s="58">
        <f>E50*D50</f>
        <v>684072</v>
      </c>
    </row>
    <row r="51" spans="1:6" x14ac:dyDescent="0.3">
      <c r="A51" s="35"/>
      <c r="B51" s="59" t="s">
        <v>116</v>
      </c>
      <c r="C51" s="59"/>
      <c r="D51" s="61">
        <v>1</v>
      </c>
      <c r="E51" s="67">
        <v>1736286</v>
      </c>
      <c r="F51" s="58">
        <f>E51*D51</f>
        <v>1736286</v>
      </c>
    </row>
    <row r="52" spans="1:6" x14ac:dyDescent="0.3">
      <c r="A52" s="35"/>
      <c r="B52" s="56"/>
      <c r="C52" s="56"/>
      <c r="D52" s="73"/>
      <c r="E52" s="67"/>
      <c r="F52" s="62">
        <f>SUM(F50:F51)</f>
        <v>2420358</v>
      </c>
    </row>
    <row r="53" spans="1:6" x14ac:dyDescent="0.3">
      <c r="A53" s="38">
        <v>6</v>
      </c>
      <c r="B53" s="63" t="s">
        <v>117</v>
      </c>
      <c r="C53" s="63"/>
      <c r="D53" s="69"/>
      <c r="E53" s="74"/>
      <c r="F53" s="75"/>
    </row>
    <row r="54" spans="1:6" x14ac:dyDescent="0.3">
      <c r="A54" s="35"/>
      <c r="B54" s="56" t="s">
        <v>118</v>
      </c>
      <c r="C54" s="56"/>
      <c r="D54" s="57">
        <v>1</v>
      </c>
      <c r="E54" s="67">
        <v>370000</v>
      </c>
      <c r="F54" s="58">
        <f>E54*D54</f>
        <v>370000</v>
      </c>
    </row>
    <row r="55" spans="1:6" x14ac:dyDescent="0.3">
      <c r="A55" s="35"/>
      <c r="B55" s="56" t="s">
        <v>119</v>
      </c>
      <c r="C55" s="56"/>
      <c r="D55" s="61">
        <v>2</v>
      </c>
      <c r="E55" s="67">
        <v>670000</v>
      </c>
      <c r="F55" s="58">
        <f>E55*D55</f>
        <v>1340000</v>
      </c>
    </row>
    <row r="56" spans="1:6" x14ac:dyDescent="0.3">
      <c r="A56" s="76"/>
      <c r="B56" s="59" t="s">
        <v>120</v>
      </c>
      <c r="C56" s="59"/>
      <c r="D56" s="61">
        <v>3.5</v>
      </c>
      <c r="E56" s="77">
        <v>1082000</v>
      </c>
      <c r="F56" s="78">
        <f t="shared" ref="F56:F59" si="4">E56/20*D56</f>
        <v>189350</v>
      </c>
    </row>
    <row r="57" spans="1:6" x14ac:dyDescent="0.3">
      <c r="A57" s="76"/>
      <c r="B57" s="59" t="s">
        <v>121</v>
      </c>
      <c r="C57" s="59"/>
      <c r="D57" s="61">
        <v>3.5</v>
      </c>
      <c r="E57" s="77">
        <v>1082000</v>
      </c>
      <c r="F57" s="78">
        <f t="shared" si="4"/>
        <v>189350</v>
      </c>
    </row>
    <row r="58" spans="1:6" x14ac:dyDescent="0.3">
      <c r="A58" s="76"/>
      <c r="B58" s="59" t="s">
        <v>122</v>
      </c>
      <c r="C58" s="59"/>
      <c r="D58" s="61">
        <v>3.5</v>
      </c>
      <c r="E58" s="77">
        <v>1082000</v>
      </c>
      <c r="F58" s="78">
        <f t="shared" si="4"/>
        <v>189350</v>
      </c>
    </row>
    <row r="59" spans="1:6" x14ac:dyDescent="0.3">
      <c r="A59" s="76"/>
      <c r="B59" s="59" t="s">
        <v>123</v>
      </c>
      <c r="C59" s="59"/>
      <c r="D59" s="61">
        <v>3.5</v>
      </c>
      <c r="E59" s="77">
        <v>1082000</v>
      </c>
      <c r="F59" s="78">
        <f t="shared" si="4"/>
        <v>189350</v>
      </c>
    </row>
    <row r="60" spans="1:6" x14ac:dyDescent="0.3">
      <c r="A60" s="35"/>
      <c r="B60" s="56"/>
      <c r="C60" s="56"/>
      <c r="D60" s="68"/>
      <c r="E60" s="67"/>
      <c r="F60" s="62">
        <f>SUM(F54:F59)</f>
        <v>2467400</v>
      </c>
    </row>
    <row r="61" spans="1:6" x14ac:dyDescent="0.3">
      <c r="A61" s="35"/>
      <c r="B61" s="79" t="s">
        <v>124</v>
      </c>
      <c r="C61" s="79"/>
      <c r="D61" s="68"/>
      <c r="E61" s="56"/>
      <c r="F61" s="80">
        <f>SUM(F8+F20+F31+F34+F48+F52+F60)</f>
        <v>53802527</v>
      </c>
    </row>
    <row r="62" spans="1:6" x14ac:dyDescent="0.3">
      <c r="A62" s="35"/>
      <c r="B62" s="81"/>
      <c r="C62" s="81"/>
      <c r="D62" s="68"/>
      <c r="E62" s="56"/>
      <c r="F62" s="82"/>
    </row>
    <row r="63" spans="1:6" ht="15" thickBot="1" x14ac:dyDescent="0.35">
      <c r="A63" s="83"/>
      <c r="B63" s="84"/>
      <c r="C63" s="84"/>
      <c r="D63" s="85"/>
      <c r="E63" s="84" t="s">
        <v>10</v>
      </c>
      <c r="F63" s="86">
        <f>F62+F61</f>
        <v>53802527</v>
      </c>
    </row>
  </sheetData>
  <mergeCells count="6">
    <mergeCell ref="D48:E48"/>
    <mergeCell ref="A1:F1"/>
    <mergeCell ref="A8:E8"/>
    <mergeCell ref="B20:E20"/>
    <mergeCell ref="B31:E31"/>
    <mergeCell ref="B34:E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UPAH BORONGAN TUKANG</vt:lpstr>
      <vt:lpstr>TANAH &amp; PRASARANA 150 UNIT</vt:lpstr>
      <vt:lpstr>LAPORAN PROGRESS 2 MINGGUAN</vt:lpstr>
      <vt:lpstr>RAB PERUNIT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POLYTRON</dc:creator>
  <cp:lastModifiedBy>Lonely One</cp:lastModifiedBy>
  <dcterms:created xsi:type="dcterms:W3CDTF">2026-07-03T07:15:44Z</dcterms:created>
  <dcterms:modified xsi:type="dcterms:W3CDTF">2026-07-08T15:08:14Z</dcterms:modified>
</cp:coreProperties>
</file>